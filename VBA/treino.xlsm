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gost\OneDrive\Área de Trabalho\"/>
    </mc:Choice>
  </mc:AlternateContent>
  <xr:revisionPtr revIDLastSave="0" documentId="13_ncr:1_{36570F85-E07B-4EDF-A649-9601359C6529}" xr6:coauthVersionLast="47" xr6:coauthVersionMax="47" xr10:uidLastSave="{00000000-0000-0000-0000-000000000000}"/>
  <bookViews>
    <workbookView xWindow="-110" yWindow="-110" windowWidth="19420" windowHeight="10300" xr2:uid="{EA370DB8-FFAB-473B-9817-E79BA8873152}"/>
  </bookViews>
  <sheets>
    <sheet name="exercícios" sheetId="1" r:id="rId1"/>
    <sheet name="gráficos musculos" sheetId="3" r:id="rId2"/>
    <sheet name="dado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1" i="1" l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C3" i="1"/>
  <c r="C4" i="1"/>
  <c r="C5" i="1"/>
  <c r="C2" i="1"/>
  <c r="C12" i="1"/>
  <c r="C6" i="1"/>
  <c r="C7" i="1"/>
  <c r="C8" i="1"/>
  <c r="C9" i="1"/>
  <c r="C10" i="1"/>
  <c r="C11" i="1"/>
  <c r="C13" i="1"/>
  <c r="C14" i="1"/>
  <c r="C15" i="1"/>
  <c r="Q35" i="1" l="1"/>
  <c r="I40" i="1" s="1"/>
  <c r="M35" i="1"/>
  <c r="H40" i="1" s="1"/>
  <c r="I35" i="1"/>
  <c r="G40" i="1" s="1"/>
  <c r="E35" i="1"/>
  <c r="F40" i="1" s="1"/>
  <c r="S16" i="1"/>
  <c r="E40" i="1" s="1"/>
  <c r="O16" i="1"/>
  <c r="D40" i="1" s="1"/>
  <c r="K16" i="1"/>
  <c r="C40" i="1" s="1"/>
  <c r="G16" i="1"/>
  <c r="B40" i="1" s="1"/>
  <c r="C16" i="1"/>
  <c r="A40" i="1" s="1"/>
</calcChain>
</file>

<file path=xl/sharedStrings.xml><?xml version="1.0" encoding="utf-8"?>
<sst xmlns="http://schemas.openxmlformats.org/spreadsheetml/2006/main" count="106" uniqueCount="89">
  <si>
    <t>Peito</t>
  </si>
  <si>
    <t>Bíceps</t>
  </si>
  <si>
    <t>Posterior de coxa</t>
  </si>
  <si>
    <t>Ombro</t>
  </si>
  <si>
    <t>Tríceps</t>
  </si>
  <si>
    <t>Costas</t>
  </si>
  <si>
    <t>Antebraço</t>
  </si>
  <si>
    <t>Quadríceps</t>
  </si>
  <si>
    <t>Carga</t>
  </si>
  <si>
    <t>Crucifixo na máquina</t>
  </si>
  <si>
    <t>Rosca alternada com halteres</t>
  </si>
  <si>
    <t>Rosca alternada no banco 45º</t>
  </si>
  <si>
    <t>Rosca com barra W</t>
  </si>
  <si>
    <t>Rosca com barra W pegada fechada</t>
  </si>
  <si>
    <t xml:space="preserve">Rosca concentrada </t>
  </si>
  <si>
    <t>Rosca martelo</t>
  </si>
  <si>
    <t>Rosca Scott com barra W</t>
  </si>
  <si>
    <t>Rosca zottman</t>
  </si>
  <si>
    <t>Agachamento</t>
  </si>
  <si>
    <t>Sumô</t>
  </si>
  <si>
    <t>Cadeira flexora</t>
  </si>
  <si>
    <t>Mesa flexora</t>
  </si>
  <si>
    <t>Flexão de joelho</t>
  </si>
  <si>
    <t>Crucifixo inverso inclinado com halteres</t>
  </si>
  <si>
    <t>Desenvolvimento arnold</t>
  </si>
  <si>
    <t>Desenvolvimento</t>
  </si>
  <si>
    <t xml:space="preserve">Desenvolvimento na máquina </t>
  </si>
  <si>
    <t>Elevação frontal na polia</t>
  </si>
  <si>
    <t>Elevação frontal com halteres</t>
  </si>
  <si>
    <t>Elevação lateral com halteres</t>
  </si>
  <si>
    <t xml:space="preserve">Elevação lateral na polia </t>
  </si>
  <si>
    <t>Elevação lateral na máquina</t>
  </si>
  <si>
    <t>Elevação unilateral na polia</t>
  </si>
  <si>
    <t xml:space="preserve">Remada alta na polia </t>
  </si>
  <si>
    <t>Extensão de Tríceps curvada na polia</t>
  </si>
  <si>
    <t>Extensão de Tríceps deitado com barra W</t>
  </si>
  <si>
    <t>Extensão de Tríceps em pé com corda</t>
  </si>
  <si>
    <t>Extensão de Tríceps na polia baixa</t>
  </si>
  <si>
    <t>Tríceps francês</t>
  </si>
  <si>
    <t>Tríceps com corda na polia</t>
  </si>
  <si>
    <t>Tríceps mergulho na máquina</t>
  </si>
  <si>
    <t>Tríceps na máquina</t>
  </si>
  <si>
    <t xml:space="preserve">Leg 45º pés altos </t>
  </si>
  <si>
    <t>Stiff</t>
  </si>
  <si>
    <t>Coice de Gluteo</t>
  </si>
  <si>
    <t>Cadeira abdutora</t>
  </si>
  <si>
    <t>Elevação pelvica</t>
  </si>
  <si>
    <t>Glúteos com perna estendida na polia</t>
  </si>
  <si>
    <t>Terra</t>
  </si>
  <si>
    <t>Glúteo</t>
  </si>
  <si>
    <t>Crucifixo no Banco</t>
  </si>
  <si>
    <t>Crucifixo na Polia Alta</t>
  </si>
  <si>
    <t>Crucifixo na Polia Baixa</t>
  </si>
  <si>
    <t>Crucifixo na Máquina</t>
  </si>
  <si>
    <t xml:space="preserve">Cruzamentos de Cabos Curvados </t>
  </si>
  <si>
    <t>Supino Barra</t>
  </si>
  <si>
    <t>Supino com Halter</t>
  </si>
  <si>
    <t>Supino com Halter Inclinado</t>
  </si>
  <si>
    <t>Supino Barra Inclinado</t>
  </si>
  <si>
    <t>Supino Máquina</t>
  </si>
  <si>
    <t>Supino Máquina Inclinado</t>
  </si>
  <si>
    <t>Puxada Sentado na Máquina</t>
  </si>
  <si>
    <t>Puxada Frontal com Pegada V</t>
  </si>
  <si>
    <t>Puxada Frontal com Pegada Aberta</t>
  </si>
  <si>
    <t>Puxada com Pegada Neutra no Graviton</t>
  </si>
  <si>
    <t>Puxada em Pé com Corda</t>
  </si>
  <si>
    <t>Remada Sentado na Máquina</t>
  </si>
  <si>
    <t>Rosca Punho Invertida na Polia</t>
  </si>
  <si>
    <t>Rosca Punho Lateral na Polia</t>
  </si>
  <si>
    <t xml:space="preserve">Rosca Punho Pronada </t>
  </si>
  <si>
    <t>Rosca Punho Supino com Barra</t>
  </si>
  <si>
    <t>Leg press 45°</t>
  </si>
  <si>
    <t>Afundo Smith</t>
  </si>
  <si>
    <t>Agachamento Aberto no Hack</t>
  </si>
  <si>
    <t>Cadeira Extensora</t>
  </si>
  <si>
    <t>Leg press Horizontal</t>
  </si>
  <si>
    <t>Remada</t>
  </si>
  <si>
    <t>Remada Inclinada com Halter</t>
  </si>
  <si>
    <t>Tríceps francês na polia</t>
  </si>
  <si>
    <t>Rosca na polia baixa unilateral</t>
  </si>
  <si>
    <t xml:space="preserve">Bíceps maquina </t>
  </si>
  <si>
    <t>Supino Máquina Declinado</t>
  </si>
  <si>
    <t>Rosca Halter</t>
  </si>
  <si>
    <t>Rosca Polia</t>
  </si>
  <si>
    <t>Remada Cuvada</t>
  </si>
  <si>
    <t>Crucifixo Inverso</t>
  </si>
  <si>
    <t>Posterior</t>
  </si>
  <si>
    <t>Quadriceps</t>
  </si>
  <si>
    <t>Glúteos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</si>
</sst>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sz val="2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1919"/>
        <bgColor indexed="64"/>
      </patternFill>
    </fill>
    <fill>
      <patternFill patternType="solid">
        <fgColor rgb="FF9E2222"/>
        <bgColor indexed="64"/>
      </patternFill>
    </fill>
    <fill>
      <patternFill patternType="solid">
        <fgColor rgb="FFBF4141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2" fillId="11" borderId="1" xfId="0" applyFont="1" applyFill="1" applyBorder="1" applyAlignment="1">
      <alignment horizontal="center"/>
    </xf>
    <xf numFmtId="0" fontId="3" fillId="0" borderId="0" xfId="0" applyFont="1"/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4" fillId="0" borderId="0" xfId="0" applyFont="1"/>
    <xf numFmtId="0" fontId="6" fillId="0" borderId="1" xfId="0" applyFont="1" applyBorder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0" borderId="3" xfId="0" applyFont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top"/>
    </xf>
  </cellXfs>
  <cellStyles count="1">
    <cellStyle name="Normal" xfId="0" builtinId="0"/>
  </cellStyles>
  <dxfs count="48"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F4141"/>
      <color rgb="FF9E2222"/>
      <color rgb="FFE71919"/>
      <color rgb="FF990000"/>
      <color rgb="FFFF2121"/>
      <color rgb="FFFF1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Peito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43553878667937"/>
          <c:y val="0.15941334316444869"/>
          <c:w val="0.84402067445602746"/>
          <c:h val="0.6750555431539671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strLit>
              <c:ptCount val="2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26</c:v>
              </c:pt>
              <c:pt idx="21">
                <c:v>27</c:v>
              </c:pt>
              <c:pt idx="22">
                <c:v>28</c:v>
              </c:pt>
              <c:pt idx="23">
                <c:v>29</c:v>
              </c:pt>
              <c:pt idx="24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dados!$A$1:$A$30</c15:sqref>
                  </c15:fullRef>
                </c:ext>
              </c:extLst>
              <c:f>(dados!$A$1:$A$20,dados!$A$26:$A$30)</c:f>
              <c:numCache>
                <c:formatCode>General</c:formatCode>
                <c:ptCount val="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A7-42B8-9D66-E85D3888572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477080432"/>
        <c:axId val="2092138368"/>
      </c:lineChart>
      <c:catAx>
        <c:axId val="1477080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</a:t>
                </a:r>
                <a:r>
                  <a:rPr lang="pt-BR" sz="1050" baseline="0"/>
                  <a:t> de treino</a:t>
                </a:r>
              </a:p>
            </c:rich>
          </c:tx>
          <c:layout>
            <c:manualLayout>
              <c:xMode val="edge"/>
              <c:yMode val="edge"/>
              <c:x val="0.38485139084228742"/>
              <c:y val="0.90370129705880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38368"/>
        <c:crosses val="autoZero"/>
        <c:auto val="1"/>
        <c:lblAlgn val="ctr"/>
        <c:lblOffset val="100"/>
        <c:noMultiLvlLbl val="0"/>
      </c:catAx>
      <c:valAx>
        <c:axId val="2092138368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08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Bíceps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strLit>
              <c:ptCount val="2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dados!$B$1:$B$30</c15:sqref>
                  </c15:fullRef>
                </c:ext>
              </c:extLst>
              <c:f>(dados!$B$1:$B$21,dados!$B$26:$B$30)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CC-4510-9244-BCA38B64074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477071312"/>
        <c:axId val="2092177552"/>
      </c:lineChart>
      <c:catAx>
        <c:axId val="147707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77552"/>
        <c:crosses val="autoZero"/>
        <c:auto val="1"/>
        <c:lblAlgn val="ctr"/>
        <c:lblOffset val="100"/>
        <c:noMultiLvlLbl val="0"/>
      </c:catAx>
      <c:valAx>
        <c:axId val="2092177552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0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Posterior de coxa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dados!$G$1:$G$30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C7-4847-AE50-1D868E49DB1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69971408"/>
        <c:axId val="2092131920"/>
      </c:lineChart>
      <c:catAx>
        <c:axId val="136997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31920"/>
        <c:crosses val="autoZero"/>
        <c:auto val="1"/>
        <c:lblAlgn val="ctr"/>
        <c:lblOffset val="100"/>
        <c:noMultiLvlLbl val="0"/>
      </c:catAx>
      <c:valAx>
        <c:axId val="2092131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997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Tríceps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dados!$C$1:$C$30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21-438E-9C71-358AED0775E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69965120"/>
        <c:axId val="2092141344"/>
      </c:lineChart>
      <c:catAx>
        <c:axId val="136996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41344"/>
        <c:crosses val="autoZero"/>
        <c:auto val="1"/>
        <c:lblAlgn val="ctr"/>
        <c:lblOffset val="100"/>
        <c:noMultiLvlLbl val="0"/>
      </c:catAx>
      <c:valAx>
        <c:axId val="20921413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996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dados!$F$1:$F$30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5DC-4450-9D09-B34E60A8F9B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74937216"/>
        <c:axId val="2092178048"/>
      </c:lineChart>
      <c:catAx>
        <c:axId val="137493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78048"/>
        <c:crosses val="autoZero"/>
        <c:auto val="1"/>
        <c:lblAlgn val="ctr"/>
        <c:lblOffset val="100"/>
        <c:noMultiLvlLbl val="0"/>
      </c:catAx>
      <c:valAx>
        <c:axId val="2092178048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9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Antebraço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dados!$D$1:$D$30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0-4320-B186-F3476624B22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74935296"/>
        <c:axId val="2092188960"/>
      </c:lineChart>
      <c:catAx>
        <c:axId val="1374935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88960"/>
        <c:crosses val="autoZero"/>
        <c:auto val="1"/>
        <c:lblAlgn val="ctr"/>
        <c:lblOffset val="100"/>
        <c:noMultiLvlLbl val="0"/>
      </c:catAx>
      <c:valAx>
        <c:axId val="2092188960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93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Quadríceps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dados!$H$1:$H$30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B3-4DD1-8D51-D54453CCE9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831270848"/>
        <c:axId val="2092167632"/>
      </c:lineChart>
      <c:catAx>
        <c:axId val="1831270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67632"/>
        <c:crosses val="autoZero"/>
        <c:auto val="1"/>
        <c:lblAlgn val="ctr"/>
        <c:lblOffset val="100"/>
        <c:noMultiLvlLbl val="0"/>
      </c:catAx>
      <c:valAx>
        <c:axId val="2092167632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127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Glúteo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strLit>
              <c:ptCount val="2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26</c:v>
              </c:pt>
              <c:pt idx="21">
                <c:v>27</c:v>
              </c:pt>
              <c:pt idx="22">
                <c:v>28</c:v>
              </c:pt>
              <c:pt idx="23">
                <c:v>29</c:v>
              </c:pt>
              <c:pt idx="24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dados!$I$1:$I$30</c15:sqref>
                  </c15:fullRef>
                </c:ext>
              </c:extLst>
              <c:f>(dados!$I$1:$I$20,dados!$I$26:$I$30)</c:f>
              <c:numCache>
                <c:formatCode>General</c:formatCode>
                <c:ptCount val="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37-44AD-8E4C-738BB778E3B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831284288"/>
        <c:axId val="2087712480"/>
      </c:lineChart>
      <c:catAx>
        <c:axId val="183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7712480"/>
        <c:crosses val="autoZero"/>
        <c:auto val="1"/>
        <c:lblAlgn val="ctr"/>
        <c:lblOffset val="100"/>
        <c:noMultiLvlLbl val="0"/>
      </c:catAx>
      <c:valAx>
        <c:axId val="2087712480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128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dados!$E$1:$E$30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7-4988-B6E2-ECE640F2F4F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74937216"/>
        <c:axId val="2092178048"/>
      </c:lineChart>
      <c:catAx>
        <c:axId val="137493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78048"/>
        <c:crosses val="autoZero"/>
        <c:auto val="1"/>
        <c:lblAlgn val="ctr"/>
        <c:lblOffset val="100"/>
        <c:noMultiLvlLbl val="0"/>
      </c:catAx>
      <c:valAx>
        <c:axId val="2092178048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9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17</xdr:row>
          <xdr:rowOff>38100</xdr:rowOff>
        </xdr:from>
        <xdr:to>
          <xdr:col>0</xdr:col>
          <xdr:colOff>1587500</xdr:colOff>
          <xdr:row>22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18859</xdr:colOff>
      <xdr:row>0</xdr:row>
      <xdr:rowOff>6602</xdr:rowOff>
    </xdr:from>
    <xdr:to>
      <xdr:col>10</xdr:col>
      <xdr:colOff>61002</xdr:colOff>
      <xdr:row>21</xdr:row>
      <xdr:rowOff>156602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23049</xdr:colOff>
      <xdr:row>0</xdr:row>
      <xdr:rowOff>0</xdr:rowOff>
    </xdr:from>
    <xdr:to>
      <xdr:col>23</xdr:col>
      <xdr:colOff>65192</xdr:colOff>
      <xdr:row>21</xdr:row>
      <xdr:rowOff>150000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545811</xdr:colOff>
      <xdr:row>33</xdr:row>
      <xdr:rowOff>8021</xdr:rowOff>
    </xdr:from>
    <xdr:to>
      <xdr:col>35</xdr:col>
      <xdr:colOff>587954</xdr:colOff>
      <xdr:row>54</xdr:row>
      <xdr:rowOff>154393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435412</xdr:colOff>
      <xdr:row>0</xdr:row>
      <xdr:rowOff>0</xdr:rowOff>
    </xdr:from>
    <xdr:to>
      <xdr:col>35</xdr:col>
      <xdr:colOff>477555</xdr:colOff>
      <xdr:row>21</xdr:row>
      <xdr:rowOff>150000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56785</xdr:colOff>
      <xdr:row>33</xdr:row>
      <xdr:rowOff>16085</xdr:rowOff>
    </xdr:from>
    <xdr:to>
      <xdr:col>23</xdr:col>
      <xdr:colOff>98928</xdr:colOff>
      <xdr:row>54</xdr:row>
      <xdr:rowOff>162457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284069</xdr:colOff>
      <xdr:row>0</xdr:row>
      <xdr:rowOff>0</xdr:rowOff>
    </xdr:from>
    <xdr:to>
      <xdr:col>48</xdr:col>
      <xdr:colOff>326212</xdr:colOff>
      <xdr:row>21</xdr:row>
      <xdr:rowOff>150000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366000</xdr:colOff>
      <xdr:row>32</xdr:row>
      <xdr:rowOff>177469</xdr:rowOff>
    </xdr:from>
    <xdr:to>
      <xdr:col>48</xdr:col>
      <xdr:colOff>408143</xdr:colOff>
      <xdr:row>54</xdr:row>
      <xdr:rowOff>146041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63</xdr:row>
      <xdr:rowOff>7428</xdr:rowOff>
    </xdr:from>
    <xdr:to>
      <xdr:col>10</xdr:col>
      <xdr:colOff>42143</xdr:colOff>
      <xdr:row>84</xdr:row>
      <xdr:rowOff>153799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32</xdr:row>
      <xdr:rowOff>127000</xdr:rowOff>
    </xdr:from>
    <xdr:to>
      <xdr:col>10</xdr:col>
      <xdr:colOff>42143</xdr:colOff>
      <xdr:row>54</xdr:row>
      <xdr:rowOff>99200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E619A-6DCD-4145-B148-DF613349BDDA}" name="Tabela1" displayName="Tabela1" ref="A1:B15" totalsRowShown="0" headerRowDxfId="47" dataDxfId="45" headerRowBorderDxfId="46">
  <autoFilter ref="A1:B15" xr:uid="{7A5E619A-6DCD-4145-B148-DF613349BDDA}"/>
  <tableColumns count="2">
    <tableColumn id="1" xr3:uid="{0DA6FA17-9F54-4B48-A3D3-E1620634A791}" name="Peito" dataDxfId="44" totalsRowDxfId="43"/>
    <tableColumn id="2" xr3:uid="{E4153D07-1AFA-4D5A-98FF-4C6CD9E6BA1F}" name="Carga" dataDxfId="42" totalsRowDxfId="4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5D839B-722B-4926-8314-F35463DA9F22}" name="Tabela14" displayName="Tabela14" ref="E1:F15" totalsRowShown="0" headerRowDxfId="40" dataDxfId="38" headerRowBorderDxfId="39">
  <autoFilter ref="E1:F15" xr:uid="{AA5D839B-722B-4926-8314-F35463DA9F22}"/>
  <tableColumns count="2">
    <tableColumn id="1" xr3:uid="{D6A03819-6128-4888-A37A-7F28D05EA71B}" name="Bíceps" dataDxfId="37"/>
    <tableColumn id="2" xr3:uid="{8495B2BA-EA39-440A-81F6-8FF6F18CBFBA}" name="Carga" dataDxfId="3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16D81D-BBD3-46D8-AD3C-4AF87465BA2E}" name="Tabela15" displayName="Tabela15" ref="I1:J15" totalsRowShown="0" headerRowDxfId="35" dataDxfId="33" headerRowBorderDxfId="34">
  <autoFilter ref="I1:J15" xr:uid="{1416D81D-BBD3-46D8-AD3C-4AF87465BA2E}"/>
  <tableColumns count="2">
    <tableColumn id="1" xr3:uid="{B1ABDC27-0FDD-4C08-98DE-1553A1EEEF3A}" name="Posterior de coxa" dataDxfId="32"/>
    <tableColumn id="2" xr3:uid="{E4A0D79F-B600-4122-8A2A-4F298FA87ABE}" name="Carga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A03B09-88A7-45E6-8790-153505C3CAD6}" name="Tabela16" displayName="Tabela16" ref="M1:N15" totalsRowShown="0" headerRowDxfId="30" dataDxfId="28" headerRowBorderDxfId="29" tableBorderDxfId="27">
  <autoFilter ref="M1:N15" xr:uid="{8FA03B09-88A7-45E6-8790-153505C3CAD6}"/>
  <tableColumns count="2">
    <tableColumn id="1" xr3:uid="{194A0DA2-C091-49EA-B4E1-9DD9344173E6}" name="Ombro" dataDxfId="26"/>
    <tableColumn id="2" xr3:uid="{395ECD98-4125-4230-BA15-B092342D94B8}" name="Carga" dataDxfId="2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A18037-93A5-4D2A-A24B-419D86DB1A22}" name="Tabela17" displayName="Tabela17" ref="Q1:R15" totalsRowShown="0" headerRowDxfId="24" dataDxfId="22" headerRowBorderDxfId="23">
  <autoFilter ref="Q1:R15" xr:uid="{B4A18037-93A5-4D2A-A24B-419D86DB1A22}"/>
  <tableColumns count="2">
    <tableColumn id="1" xr3:uid="{881474CF-6030-4F5F-83AB-00BF463022E6}" name="Tríceps" dataDxfId="21"/>
    <tableColumn id="2" xr3:uid="{355F163B-8909-42B7-B7B9-BEF093AFF9C0}" name="Carga" dataDxfId="2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FF5470-A06F-40F9-9E21-F57231A6348E}" name="Tabela18" displayName="Tabela18" ref="C20:D34" totalsRowShown="0" headerRowDxfId="19" dataDxfId="17" headerRowBorderDxfId="18">
  <autoFilter ref="C20:D34" xr:uid="{ECFF5470-A06F-40F9-9E21-F57231A6348E}"/>
  <tableColumns count="2">
    <tableColumn id="1" xr3:uid="{7510081F-0102-4DDE-86DD-FA7D4A3B7052}" name="Costas" dataDxfId="16"/>
    <tableColumn id="2" xr3:uid="{F73928AB-8FE4-4B59-B9D2-347DA177CD2E}" name="Carga" dataDxfId="1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5E8D38-3533-437C-83C3-709262DBD31A}" name="Tabela19" displayName="Tabela19" ref="G20:H34" totalsRowShown="0" headerRowDxfId="14" dataDxfId="12" headerRowBorderDxfId="13">
  <autoFilter ref="G20:H34" xr:uid="{735E8D38-3533-437C-83C3-709262DBD31A}"/>
  <tableColumns count="2">
    <tableColumn id="1" xr3:uid="{82DAC4EC-F003-4C76-9EA7-4AD20EB63C4C}" name="Antebraço" dataDxfId="11"/>
    <tableColumn id="2" xr3:uid="{A96E9464-FA42-450B-9A4E-0F8EA043600C}" name="Carga" dataDxfId="10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1BC6E8-2B7B-46E9-BB19-310D125557C2}" name="Tabela110" displayName="Tabela110" ref="K20:L34" totalsRowShown="0" headerRowDxfId="9" dataDxfId="7" headerRowBorderDxfId="8">
  <autoFilter ref="K20:L34" xr:uid="{B61BC6E8-2B7B-46E9-BB19-310D125557C2}"/>
  <tableColumns count="2">
    <tableColumn id="1" xr3:uid="{C5598FD1-359C-4B8F-A194-8DA368A8AFD7}" name="Quadríceps" dataDxfId="6"/>
    <tableColumn id="2" xr3:uid="{FA7E2B67-1BC7-40BB-A758-1F9E5B00AC58}" name="Carga" dataDxfId="5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9CA87BC-2155-4BAA-9140-2CDB9F947E3B}" name="Tabela111" displayName="Tabela111" ref="O20:P34" totalsRowShown="0" headerRowDxfId="4" dataDxfId="2" headerRowBorderDxfId="3">
  <autoFilter ref="O20:P34" xr:uid="{59CA87BC-2155-4BAA-9140-2CDB9F947E3B}"/>
  <tableColumns count="2">
    <tableColumn id="1" xr3:uid="{18C2AC74-1B58-4F74-88A5-6A535A93823E}" name="Glúteo" dataDxfId="1"/>
    <tableColumn id="2" xr3:uid="{A0CAE4C6-A289-4671-89AD-F5D24DE9BCF4}" name="Carg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6B86-A804-4399-8422-4A6AC8364B3F}">
  <sheetPr codeName="Planilha1"/>
  <dimension ref="A1:AL111"/>
  <sheetViews>
    <sheetView tabSelected="1" zoomScale="55" zoomScaleNormal="55" workbookViewId="0">
      <selection activeCell="E23" sqref="E23"/>
    </sheetView>
  </sheetViews>
  <sheetFormatPr defaultRowHeight="14.5" x14ac:dyDescent="0.35"/>
  <cols>
    <col min="1" max="1" width="45.6328125" customWidth="1"/>
    <col min="2" max="2" width="22.54296875" bestFit="1" customWidth="1"/>
    <col min="3" max="3" width="45.6328125" customWidth="1"/>
    <col min="4" max="4" width="17.7265625" customWidth="1"/>
    <col min="5" max="5" width="46.1796875" customWidth="1"/>
    <col min="6" max="6" width="17.7265625" bestFit="1" customWidth="1"/>
    <col min="7" max="7" width="45.54296875" customWidth="1"/>
    <col min="8" max="8" width="17.7265625" bestFit="1" customWidth="1"/>
    <col min="9" max="9" width="45.6328125" customWidth="1"/>
    <col min="10" max="10" width="17.7265625" bestFit="1" customWidth="1"/>
    <col min="11" max="11" width="45.6328125" customWidth="1"/>
    <col min="12" max="12" width="17.7265625" bestFit="1" customWidth="1"/>
    <col min="13" max="13" width="45.54296875" customWidth="1"/>
    <col min="14" max="14" width="17.7265625" bestFit="1" customWidth="1"/>
    <col min="15" max="15" width="45.7265625" customWidth="1"/>
    <col min="16" max="16" width="17.7265625" bestFit="1" customWidth="1"/>
    <col min="17" max="17" width="45.6328125" customWidth="1"/>
    <col min="18" max="18" width="17.7265625" bestFit="1" customWidth="1"/>
    <col min="19" max="19" width="16.90625" bestFit="1" customWidth="1"/>
  </cols>
  <sheetData>
    <row r="1" spans="1:38" ht="18.5" x14ac:dyDescent="0.35">
      <c r="A1" s="30" t="s">
        <v>0</v>
      </c>
      <c r="B1" s="30" t="s">
        <v>8</v>
      </c>
      <c r="C1" s="28"/>
      <c r="D1" s="11"/>
      <c r="E1" s="30" t="s">
        <v>1</v>
      </c>
      <c r="F1" s="30" t="s">
        <v>8</v>
      </c>
      <c r="G1" s="27"/>
      <c r="H1" s="22"/>
      <c r="I1" s="30" t="s">
        <v>2</v>
      </c>
      <c r="J1" s="30" t="s">
        <v>8</v>
      </c>
      <c r="K1" s="27"/>
      <c r="L1" s="22"/>
      <c r="M1" s="30" t="s">
        <v>3</v>
      </c>
      <c r="N1" s="30" t="s">
        <v>8</v>
      </c>
      <c r="O1" s="27"/>
      <c r="P1" s="22"/>
      <c r="Q1" s="30" t="s">
        <v>4</v>
      </c>
      <c r="R1" s="30" t="s">
        <v>8</v>
      </c>
      <c r="S1" s="27"/>
      <c r="T1" s="29"/>
      <c r="U1" s="23"/>
      <c r="V1" s="23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ht="18.5" x14ac:dyDescent="0.35">
      <c r="A2" s="21" t="s">
        <v>50</v>
      </c>
      <c r="B2" s="21"/>
      <c r="C2" s="28" t="b">
        <f>IF(Tabela1[[#This Row],[Carga]]&lt;&gt;0, 1)</f>
        <v>0</v>
      </c>
      <c r="D2" s="11"/>
      <c r="E2" s="21" t="s">
        <v>10</v>
      </c>
      <c r="F2" s="21"/>
      <c r="G2" s="27" t="b">
        <f>IF(Tabela14[[#This Row],[Carga]]&lt;&gt;0,1)</f>
        <v>0</v>
      </c>
      <c r="H2" s="22"/>
      <c r="I2" s="21" t="s">
        <v>18</v>
      </c>
      <c r="J2" s="21"/>
      <c r="K2" s="27" t="b">
        <f>IF(Tabela15[[#This Row],[Carga]]&lt;&gt;0,1)</f>
        <v>0</v>
      </c>
      <c r="L2" s="22"/>
      <c r="M2" s="24" t="s">
        <v>23</v>
      </c>
      <c r="N2" s="21"/>
      <c r="O2" s="27" t="b">
        <f>IF(Tabela16[[#This Row],[Carga]]&lt;&gt;0,1)</f>
        <v>0</v>
      </c>
      <c r="P2" s="22"/>
      <c r="Q2" s="24" t="s">
        <v>34</v>
      </c>
      <c r="R2" s="21"/>
      <c r="S2" s="27" t="b">
        <f>IF(Tabela17[[#This Row],[Carga]]&lt;&gt;0,1)</f>
        <v>0</v>
      </c>
      <c r="T2" s="29"/>
      <c r="U2" s="23"/>
      <c r="V2" s="23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</row>
    <row r="3" spans="1:38" ht="18.5" x14ac:dyDescent="0.35">
      <c r="A3" s="21" t="s">
        <v>51</v>
      </c>
      <c r="B3" s="21"/>
      <c r="C3" s="28" t="b">
        <f>IF(Tabela1[[#This Row],[Carga]]&lt;&gt;0, 1)</f>
        <v>0</v>
      </c>
      <c r="D3" s="11"/>
      <c r="E3" s="21" t="s">
        <v>11</v>
      </c>
      <c r="F3" s="21"/>
      <c r="G3" s="27" t="b">
        <f>IF(Tabela14[[#This Row],[Carga]]&lt;&gt;0,1)</f>
        <v>0</v>
      </c>
      <c r="H3" s="22"/>
      <c r="I3" s="21" t="s">
        <v>42</v>
      </c>
      <c r="J3" s="21"/>
      <c r="K3" s="27" t="b">
        <f>IF(Tabela15[[#This Row],[Carga]]&lt;&gt;0,1)</f>
        <v>0</v>
      </c>
      <c r="L3" s="22"/>
      <c r="M3" s="24" t="s">
        <v>9</v>
      </c>
      <c r="N3" s="21"/>
      <c r="O3" s="27" t="b">
        <f>IF(Tabela16[[#This Row],[Carga]]&lt;&gt;0,1)</f>
        <v>0</v>
      </c>
      <c r="P3" s="22"/>
      <c r="Q3" s="24" t="s">
        <v>35</v>
      </c>
      <c r="R3" s="21"/>
      <c r="S3" s="27" t="b">
        <f>IF(Tabela17[[#This Row],[Carga]]&lt;&gt;0,1)</f>
        <v>0</v>
      </c>
      <c r="T3" s="29"/>
      <c r="U3" s="23"/>
      <c r="V3" s="23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</row>
    <row r="4" spans="1:38" ht="18.5" x14ac:dyDescent="0.35">
      <c r="A4" s="21" t="s">
        <v>52</v>
      </c>
      <c r="B4" s="21"/>
      <c r="C4" s="28" t="b">
        <f>IF(Tabela1[[#This Row],[Carga]]&lt;&gt;0, 1)</f>
        <v>0</v>
      </c>
      <c r="D4" s="11"/>
      <c r="E4" s="21" t="s">
        <v>12</v>
      </c>
      <c r="F4" s="21"/>
      <c r="G4" s="27" t="b">
        <f>IF(Tabela14[[#This Row],[Carga]]&lt;&gt;0,1)</f>
        <v>0</v>
      </c>
      <c r="H4" s="22"/>
      <c r="I4" s="21" t="s">
        <v>20</v>
      </c>
      <c r="J4" s="21"/>
      <c r="K4" s="27" t="b">
        <f>IF(Tabela15[[#This Row],[Carga]]&lt;&gt;0,1)</f>
        <v>0</v>
      </c>
      <c r="L4" s="22"/>
      <c r="M4" s="24" t="s">
        <v>24</v>
      </c>
      <c r="N4" s="21"/>
      <c r="O4" s="27" t="b">
        <f>IF(Tabela16[[#This Row],[Carga]]&lt;&gt;0,1)</f>
        <v>0</v>
      </c>
      <c r="P4" s="22"/>
      <c r="Q4" s="24" t="s">
        <v>36</v>
      </c>
      <c r="R4" s="21"/>
      <c r="S4" s="27" t="b">
        <f>IF(Tabela17[[#This Row],[Carga]]&lt;&gt;0,1)</f>
        <v>0</v>
      </c>
      <c r="T4" s="29"/>
      <c r="U4" s="23"/>
      <c r="V4" s="23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</row>
    <row r="5" spans="1:38" ht="18.5" x14ac:dyDescent="0.35">
      <c r="A5" s="21" t="s">
        <v>53</v>
      </c>
      <c r="B5" s="21"/>
      <c r="C5" s="28" t="b">
        <f>IF(Tabela1[[#This Row],[Carga]]&lt;&gt;0, 1)</f>
        <v>0</v>
      </c>
      <c r="D5" s="11"/>
      <c r="E5" s="21" t="s">
        <v>13</v>
      </c>
      <c r="F5" s="21"/>
      <c r="G5" s="27" t="b">
        <f>IF(Tabela14[[#This Row],[Carga]]&lt;&gt;0,1)</f>
        <v>0</v>
      </c>
      <c r="H5" s="22"/>
      <c r="I5" s="21" t="s">
        <v>21</v>
      </c>
      <c r="J5" s="21"/>
      <c r="K5" s="27" t="b">
        <f>IF(Tabela15[[#This Row],[Carga]]&lt;&gt;0,1)</f>
        <v>0</v>
      </c>
      <c r="L5" s="22"/>
      <c r="M5" s="24" t="s">
        <v>25</v>
      </c>
      <c r="N5" s="21"/>
      <c r="O5" s="27" t="b">
        <f>IF(Tabela16[[#This Row],[Carga]]&lt;&gt;0,1)</f>
        <v>0</v>
      </c>
      <c r="P5" s="22"/>
      <c r="Q5" s="24" t="s">
        <v>37</v>
      </c>
      <c r="R5" s="21"/>
      <c r="S5" s="27" t="b">
        <f>IF(Tabela17[[#This Row],[Carga]]&lt;&gt;0,1)</f>
        <v>0</v>
      </c>
      <c r="T5" s="29"/>
      <c r="U5" s="23"/>
      <c r="V5" s="23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</row>
    <row r="6" spans="1:38" ht="18.5" x14ac:dyDescent="0.35">
      <c r="A6" s="21" t="s">
        <v>54</v>
      </c>
      <c r="B6" s="21"/>
      <c r="C6" s="28" t="b">
        <f>IF(Tabela1[[#This Row],[Carga]]&lt;&gt;0, 1)</f>
        <v>0</v>
      </c>
      <c r="D6" s="11"/>
      <c r="E6" s="21" t="s">
        <v>14</v>
      </c>
      <c r="F6" s="21"/>
      <c r="G6" s="27" t="b">
        <f>IF(Tabela14[[#This Row],[Carga]]&lt;&gt;0,1)</f>
        <v>0</v>
      </c>
      <c r="H6" s="22"/>
      <c r="I6" s="21" t="s">
        <v>22</v>
      </c>
      <c r="J6" s="21"/>
      <c r="K6" s="27" t="b">
        <f>IF(Tabela15[[#This Row],[Carga]]&lt;&gt;0,1)</f>
        <v>0</v>
      </c>
      <c r="L6" s="22"/>
      <c r="M6" s="24" t="s">
        <v>26</v>
      </c>
      <c r="N6" s="21"/>
      <c r="O6" s="27" t="b">
        <f>IF(Tabela16[[#This Row],[Carga]]&lt;&gt;0,1)</f>
        <v>0</v>
      </c>
      <c r="P6" s="22"/>
      <c r="Q6" s="24" t="s">
        <v>38</v>
      </c>
      <c r="R6" s="21"/>
      <c r="S6" s="27" t="b">
        <f>IF(Tabela17[[#This Row],[Carga]]&lt;&gt;0,1)</f>
        <v>0</v>
      </c>
      <c r="T6" s="29"/>
      <c r="U6" s="23"/>
      <c r="V6" s="23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</row>
    <row r="7" spans="1:38" ht="18.5" x14ac:dyDescent="0.35">
      <c r="A7" s="21" t="s">
        <v>55</v>
      </c>
      <c r="B7" s="21"/>
      <c r="C7" s="28" t="b">
        <f>IF(Tabela1[[#This Row],[Carga]]&lt;&gt;0, 1)</f>
        <v>0</v>
      </c>
      <c r="D7" s="11"/>
      <c r="E7" s="21" t="s">
        <v>15</v>
      </c>
      <c r="F7" s="21"/>
      <c r="G7" s="27" t="b">
        <f>IF(Tabela14[[#This Row],[Carga]]&lt;&gt;0,1)</f>
        <v>0</v>
      </c>
      <c r="H7" s="22"/>
      <c r="I7" s="21" t="s">
        <v>43</v>
      </c>
      <c r="J7" s="21"/>
      <c r="K7" s="27" t="b">
        <f>IF(Tabela15[[#This Row],[Carga]]&lt;&gt;0,1)</f>
        <v>0</v>
      </c>
      <c r="L7" s="22"/>
      <c r="M7" s="24" t="s">
        <v>27</v>
      </c>
      <c r="N7" s="21"/>
      <c r="O7" s="27" t="b">
        <f>IF(Tabela16[[#This Row],[Carga]]&lt;&gt;0,1)</f>
        <v>0</v>
      </c>
      <c r="P7" s="22"/>
      <c r="Q7" s="24" t="s">
        <v>39</v>
      </c>
      <c r="R7" s="21"/>
      <c r="S7" s="27" t="b">
        <f>IF(Tabela17[[#This Row],[Carga]]&lt;&gt;0,1)</f>
        <v>0</v>
      </c>
      <c r="T7" s="29"/>
      <c r="U7" s="23"/>
      <c r="V7" s="23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</row>
    <row r="8" spans="1:38" ht="18.5" x14ac:dyDescent="0.35">
      <c r="A8" s="21" t="s">
        <v>58</v>
      </c>
      <c r="B8" s="21"/>
      <c r="C8" s="28" t="b">
        <f>IF(Tabela1[[#This Row],[Carga]]&lt;&gt;0, 1)</f>
        <v>0</v>
      </c>
      <c r="D8" s="11"/>
      <c r="E8" s="21" t="s">
        <v>79</v>
      </c>
      <c r="F8" s="21"/>
      <c r="G8" s="27" t="b">
        <f>IF(Tabela14[[#This Row],[Carga]]&lt;&gt;0,1)</f>
        <v>0</v>
      </c>
      <c r="H8" s="22"/>
      <c r="I8" s="21" t="s">
        <v>48</v>
      </c>
      <c r="J8" s="21"/>
      <c r="K8" s="27" t="b">
        <f>IF(Tabela15[[#This Row],[Carga]]&lt;&gt;0,1)</f>
        <v>0</v>
      </c>
      <c r="L8" s="22"/>
      <c r="M8" s="24" t="s">
        <v>28</v>
      </c>
      <c r="N8" s="21"/>
      <c r="O8" s="27" t="b">
        <f>IF(Tabela16[[#This Row],[Carga]]&lt;&gt;0,1)</f>
        <v>0</v>
      </c>
      <c r="P8" s="22"/>
      <c r="Q8" s="24" t="s">
        <v>40</v>
      </c>
      <c r="R8" s="21"/>
      <c r="S8" s="27" t="b">
        <f>IF(Tabela17[[#This Row],[Carga]]&lt;&gt;0,1)</f>
        <v>0</v>
      </c>
      <c r="T8" s="29"/>
      <c r="U8" s="23"/>
      <c r="V8" s="23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</row>
    <row r="9" spans="1:38" ht="18.5" x14ac:dyDescent="0.35">
      <c r="A9" s="21" t="s">
        <v>56</v>
      </c>
      <c r="B9" s="21"/>
      <c r="C9" s="28" t="b">
        <f>IF(Tabela1[[#This Row],[Carga]]&lt;&gt;0, 1)</f>
        <v>0</v>
      </c>
      <c r="D9" s="11"/>
      <c r="E9" s="21" t="s">
        <v>16</v>
      </c>
      <c r="F9" s="21"/>
      <c r="G9" s="27" t="b">
        <f>IF(Tabela14[[#This Row],[Carga]]&lt;&gt;0,1)</f>
        <v>0</v>
      </c>
      <c r="H9" s="22"/>
      <c r="I9" s="21"/>
      <c r="J9" s="21"/>
      <c r="K9" s="27" t="b">
        <f>IF(Tabela15[[#This Row],[Carga]]&lt;&gt;0,1)</f>
        <v>0</v>
      </c>
      <c r="L9" s="22"/>
      <c r="M9" s="24" t="s">
        <v>29</v>
      </c>
      <c r="N9" s="21"/>
      <c r="O9" s="27" t="b">
        <f>IF(Tabela16[[#This Row],[Carga]]&lt;&gt;0,1)</f>
        <v>0</v>
      </c>
      <c r="P9" s="22"/>
      <c r="Q9" s="24" t="s">
        <v>41</v>
      </c>
      <c r="R9" s="21"/>
      <c r="S9" s="27" t="b">
        <f>IF(Tabela17[[#This Row],[Carga]]&lt;&gt;0,1)</f>
        <v>0</v>
      </c>
      <c r="T9" s="29"/>
      <c r="U9" s="23"/>
      <c r="V9" s="23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</row>
    <row r="10" spans="1:38" ht="18.5" x14ac:dyDescent="0.35">
      <c r="A10" s="21" t="s">
        <v>57</v>
      </c>
      <c r="B10" s="21"/>
      <c r="C10" s="28" t="b">
        <f>IF(Tabela1[[#This Row],[Carga]]&lt;&gt;0, 1)</f>
        <v>0</v>
      </c>
      <c r="D10" s="11"/>
      <c r="E10" s="21" t="s">
        <v>17</v>
      </c>
      <c r="F10" s="21"/>
      <c r="G10" s="27" t="b">
        <f>IF(Tabela14[[#This Row],[Carga]]&lt;&gt;0,1)</f>
        <v>0</v>
      </c>
      <c r="H10" s="22"/>
      <c r="I10" s="21"/>
      <c r="J10" s="21"/>
      <c r="K10" s="27" t="b">
        <f>IF(Tabela15[[#This Row],[Carga]]&lt;&gt;0,1)</f>
        <v>0</v>
      </c>
      <c r="L10" s="22"/>
      <c r="M10" s="24" t="s">
        <v>30</v>
      </c>
      <c r="N10" s="21"/>
      <c r="O10" s="27" t="b">
        <f>IF(Tabela16[[#This Row],[Carga]]&lt;&gt;0,1)</f>
        <v>0</v>
      </c>
      <c r="P10" s="22"/>
      <c r="Q10" s="24" t="s">
        <v>78</v>
      </c>
      <c r="R10" s="21"/>
      <c r="S10" s="27" t="b">
        <f>IF(Tabela17[[#This Row],[Carga]]&lt;&gt;0,1)</f>
        <v>0</v>
      </c>
      <c r="T10" s="29"/>
      <c r="U10" s="23"/>
      <c r="V10" s="23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</row>
    <row r="11" spans="1:38" ht="18.5" x14ac:dyDescent="0.35">
      <c r="A11" s="21" t="s">
        <v>59</v>
      </c>
      <c r="B11" s="21"/>
      <c r="C11" s="28" t="b">
        <f>IF(Tabela1[[#This Row],[Carga]]&lt;&gt;0, 1)</f>
        <v>0</v>
      </c>
      <c r="D11" s="11"/>
      <c r="E11" s="21" t="s">
        <v>80</v>
      </c>
      <c r="F11" s="21"/>
      <c r="G11" s="27" t="b">
        <f>IF(Tabela14[[#This Row],[Carga]]&lt;&gt;0,1)</f>
        <v>0</v>
      </c>
      <c r="H11" s="22"/>
      <c r="I11" s="21"/>
      <c r="J11" s="21"/>
      <c r="K11" s="27" t="b">
        <f>IF(Tabela15[[#This Row],[Carga]]&lt;&gt;0,1)</f>
        <v>0</v>
      </c>
      <c r="L11" s="22"/>
      <c r="M11" s="24" t="s">
        <v>31</v>
      </c>
      <c r="N11" s="21"/>
      <c r="O11" s="27" t="b">
        <f>IF(Tabela16[[#This Row],[Carga]]&lt;&gt;0,1)</f>
        <v>0</v>
      </c>
      <c r="P11" s="22"/>
      <c r="Q11" s="24"/>
      <c r="R11" s="21"/>
      <c r="S11" s="27" t="b">
        <f>IF(Tabela17[[#This Row],[Carga]]&lt;&gt;0,1)</f>
        <v>0</v>
      </c>
      <c r="T11" s="29"/>
      <c r="U11" s="23"/>
      <c r="V11" s="23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</row>
    <row r="12" spans="1:38" ht="18.5" x14ac:dyDescent="0.35">
      <c r="A12" s="21" t="s">
        <v>60</v>
      </c>
      <c r="B12" s="21"/>
      <c r="C12" s="28" t="b">
        <f>IF(Tabela1[[#This Row],[Carga]]&lt;&gt;0, 1)</f>
        <v>0</v>
      </c>
      <c r="D12" s="11"/>
      <c r="E12" s="21" t="s">
        <v>82</v>
      </c>
      <c r="F12" s="21"/>
      <c r="G12" s="27" t="b">
        <f>IF(Tabela14[[#This Row],[Carga]]&lt;&gt;0,1)</f>
        <v>0</v>
      </c>
      <c r="H12" s="22"/>
      <c r="I12" s="21"/>
      <c r="J12" s="21"/>
      <c r="K12" s="27" t="b">
        <f>IF(Tabela15[[#This Row],[Carga]]&lt;&gt;0,1)</f>
        <v>0</v>
      </c>
      <c r="L12" s="11"/>
      <c r="M12" s="24" t="s">
        <v>32</v>
      </c>
      <c r="N12" s="21"/>
      <c r="O12" s="27" t="b">
        <f>IF(Tabela16[[#This Row],[Carga]]&lt;&gt;0,1)</f>
        <v>0</v>
      </c>
      <c r="P12" s="22"/>
      <c r="Q12" s="24"/>
      <c r="R12" s="21"/>
      <c r="S12" s="27" t="b">
        <f>IF(Tabela17[[#This Row],[Carga]]&lt;&gt;0,1)</f>
        <v>0</v>
      </c>
      <c r="T12" s="29"/>
      <c r="U12" s="23"/>
      <c r="V12" s="23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</row>
    <row r="13" spans="1:38" ht="18.5" x14ac:dyDescent="0.35">
      <c r="A13" s="21" t="s">
        <v>81</v>
      </c>
      <c r="B13" s="21"/>
      <c r="C13" s="28" t="b">
        <f>IF(Tabela1[[#This Row],[Carga]]&lt;&gt;0, 1)</f>
        <v>0</v>
      </c>
      <c r="D13" s="11"/>
      <c r="E13" s="21" t="s">
        <v>83</v>
      </c>
      <c r="F13" s="21"/>
      <c r="G13" s="27" t="b">
        <f>IF(Tabela14[[#This Row],[Carga]]&lt;&gt;0,1)</f>
        <v>0</v>
      </c>
      <c r="H13" s="22"/>
      <c r="I13" s="21"/>
      <c r="J13" s="21"/>
      <c r="K13" s="27" t="b">
        <f>IF(Tabela15[[#This Row],[Carga]]&lt;&gt;0,1)</f>
        <v>0</v>
      </c>
      <c r="L13" s="22"/>
      <c r="M13" s="24" t="s">
        <v>33</v>
      </c>
      <c r="N13" s="21"/>
      <c r="O13" s="27" t="b">
        <f>IF(Tabela16[[#This Row],[Carga]]&lt;&gt;0,1)</f>
        <v>0</v>
      </c>
      <c r="P13" s="22"/>
      <c r="Q13" s="24"/>
      <c r="R13" s="21"/>
      <c r="S13" s="27" t="b">
        <f>IF(Tabela17[[#This Row],[Carga]]&lt;&gt;0,1)</f>
        <v>0</v>
      </c>
      <c r="T13" s="29"/>
      <c r="U13" s="23"/>
      <c r="V13" s="23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</row>
    <row r="14" spans="1:38" ht="18.5" x14ac:dyDescent="0.35">
      <c r="A14" s="21"/>
      <c r="B14" s="21"/>
      <c r="C14" s="28" t="b">
        <f>IF(Tabela1[[#This Row],[Carga]]&lt;&gt;0, 1)</f>
        <v>0</v>
      </c>
      <c r="D14" s="11"/>
      <c r="E14" s="21"/>
      <c r="F14" s="21"/>
      <c r="G14" s="27" t="b">
        <f>IF(Tabela14[[#This Row],[Carga]]&lt;&gt;0,1)</f>
        <v>0</v>
      </c>
      <c r="H14" s="22"/>
      <c r="I14" s="21"/>
      <c r="J14" s="21"/>
      <c r="K14" s="27" t="b">
        <f>IF(Tabela15[[#This Row],[Carga]]&lt;&gt;0,1)</f>
        <v>0</v>
      </c>
      <c r="L14" s="22"/>
      <c r="M14" s="24"/>
      <c r="N14" s="21"/>
      <c r="O14" s="27" t="b">
        <f>IF(Tabela16[[#This Row],[Carga]]&lt;&gt;0,1)</f>
        <v>0</v>
      </c>
      <c r="P14" s="22"/>
      <c r="Q14" s="24"/>
      <c r="R14" s="21"/>
      <c r="S14" s="27" t="b">
        <f>IF(Tabela17[[#This Row],[Carga]]&lt;&gt;0,1)</f>
        <v>0</v>
      </c>
      <c r="T14" s="29"/>
      <c r="U14" s="23"/>
      <c r="V14" s="23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</row>
    <row r="15" spans="1:38" ht="18.5" x14ac:dyDescent="0.35">
      <c r="A15" s="21"/>
      <c r="B15" s="21"/>
      <c r="C15" s="28" t="b">
        <f>IF(Tabela1[[#This Row],[Carga]]&lt;&gt;0, 1)</f>
        <v>0</v>
      </c>
      <c r="D15" s="11"/>
      <c r="E15" s="21"/>
      <c r="F15" s="21"/>
      <c r="G15" s="27" t="b">
        <f>IF(Tabela14[[#This Row],[Carga]]&lt;&gt;0,1)</f>
        <v>0</v>
      </c>
      <c r="H15" s="22"/>
      <c r="I15" s="21"/>
      <c r="J15" s="21"/>
      <c r="K15" s="27" t="b">
        <f>IF(Tabela15[[#This Row],[Carga]]&lt;&gt;0,1)</f>
        <v>0</v>
      </c>
      <c r="L15" s="22"/>
      <c r="M15" s="25"/>
      <c r="N15" s="21"/>
      <c r="O15" s="27" t="b">
        <f>IF(Tabela16[[#This Row],[Carga]]&lt;&gt;0,1)</f>
        <v>0</v>
      </c>
      <c r="P15" s="22"/>
      <c r="Q15" s="25"/>
      <c r="R15" s="21"/>
      <c r="S15" s="27" t="b">
        <f>IF(Tabela17[[#This Row],[Carga]]&lt;&gt;0,1)</f>
        <v>0</v>
      </c>
      <c r="T15" s="29"/>
      <c r="U15" s="23"/>
      <c r="V15" s="23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</row>
    <row r="16" spans="1:38" ht="18.5" x14ac:dyDescent="0.35">
      <c r="A16" s="22"/>
      <c r="B16" s="22"/>
      <c r="C16" s="28">
        <f>IF(SUM(C2:C15) &lt;&gt;0,SUM(C2:C15),1)</f>
        <v>1</v>
      </c>
      <c r="D16" s="11"/>
      <c r="E16" s="22"/>
      <c r="F16" s="22"/>
      <c r="G16" s="28">
        <f>IF(SUM(G2:G15) &lt;&gt;0,SUM(G2:G15),1)</f>
        <v>1</v>
      </c>
      <c r="H16" s="22"/>
      <c r="I16" s="22"/>
      <c r="J16" s="22"/>
      <c r="K16" s="28">
        <f>IF(SUM(K2:K15) &lt;&gt;0,SUM(K2:K15),1)</f>
        <v>1</v>
      </c>
      <c r="L16" s="22"/>
      <c r="M16" s="22"/>
      <c r="N16" s="22"/>
      <c r="O16" s="28">
        <f>IF(SUM(O2:O15) &lt;&gt;0,SUM(O2:O15),1)</f>
        <v>1</v>
      </c>
      <c r="P16" s="22"/>
      <c r="Q16" s="22"/>
      <c r="R16" s="22"/>
      <c r="S16" s="28">
        <f>IF(SUM(S2:S15) &lt;&gt;0,SUM(S2:S15),1)</f>
        <v>1</v>
      </c>
      <c r="T16" s="29"/>
      <c r="U16" s="23"/>
      <c r="V16" s="23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</row>
    <row r="17" spans="1:38" ht="18.5" x14ac:dyDescent="0.35">
      <c r="A17" s="22"/>
      <c r="B17" s="22"/>
      <c r="C17" s="11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3"/>
      <c r="T17" s="23"/>
      <c r="U17" s="23"/>
      <c r="V17" s="23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</row>
    <row r="18" spans="1:38" ht="18.5" x14ac:dyDescent="0.3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3"/>
      <c r="T18" s="23"/>
      <c r="U18" s="23"/>
      <c r="V18" s="23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</row>
    <row r="19" spans="1:38" ht="18.5" x14ac:dyDescent="0.3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3"/>
      <c r="T19" s="23"/>
      <c r="U19" s="23"/>
      <c r="V19" s="23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</row>
    <row r="20" spans="1:38" ht="18.5" x14ac:dyDescent="0.35">
      <c r="A20" s="22"/>
      <c r="B20" s="27"/>
      <c r="C20" s="30" t="s">
        <v>5</v>
      </c>
      <c r="D20" s="30" t="s">
        <v>8</v>
      </c>
      <c r="E20" s="27"/>
      <c r="F20" s="22"/>
      <c r="G20" s="30" t="s">
        <v>6</v>
      </c>
      <c r="H20" s="30" t="s">
        <v>8</v>
      </c>
      <c r="I20" s="22"/>
      <c r="J20" s="22"/>
      <c r="K20" s="30" t="s">
        <v>7</v>
      </c>
      <c r="L20" s="30" t="s">
        <v>8</v>
      </c>
      <c r="M20" s="22"/>
      <c r="N20" s="22"/>
      <c r="O20" s="30" t="s">
        <v>49</v>
      </c>
      <c r="P20" s="30" t="s">
        <v>8</v>
      </c>
      <c r="Q20" s="22"/>
      <c r="R20" s="22"/>
      <c r="S20" s="23"/>
      <c r="T20" s="23"/>
      <c r="U20" s="23"/>
      <c r="V20" s="23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</row>
    <row r="21" spans="1:38" ht="18.5" x14ac:dyDescent="0.35">
      <c r="A21" s="22"/>
      <c r="B21" s="22"/>
      <c r="C21" s="21" t="s">
        <v>61</v>
      </c>
      <c r="D21" s="21"/>
      <c r="E21" s="27" t="b">
        <f>IF(Tabela18[[#This Row],[Carga]]&lt;&gt;0,1)</f>
        <v>0</v>
      </c>
      <c r="F21" s="22"/>
      <c r="G21" s="21" t="s">
        <v>67</v>
      </c>
      <c r="H21" s="21"/>
      <c r="I21" s="27" t="b">
        <f>IF(Tabela19[[#This Row],[Carga]]&lt;&gt;0,1)</f>
        <v>0</v>
      </c>
      <c r="J21" s="22"/>
      <c r="K21" s="21" t="s">
        <v>18</v>
      </c>
      <c r="L21" s="21"/>
      <c r="M21" s="27" t="b">
        <f>IF(Tabela110[[#This Row],[Carga]]&lt;&gt;0,1)</f>
        <v>0</v>
      </c>
      <c r="N21" s="22"/>
      <c r="O21" s="21" t="s">
        <v>19</v>
      </c>
      <c r="P21" s="21"/>
      <c r="Q21" s="27" t="b">
        <f>IF(Tabela111[[#This Row],[Carga]]&lt;&gt;0,1)</f>
        <v>0</v>
      </c>
      <c r="R21" s="22"/>
      <c r="S21" s="23"/>
      <c r="T21" s="23"/>
      <c r="U21" s="23"/>
      <c r="V21" s="23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</row>
    <row r="22" spans="1:38" ht="18.5" x14ac:dyDescent="0.35">
      <c r="A22" s="22"/>
      <c r="B22" s="22"/>
      <c r="C22" s="21" t="s">
        <v>62</v>
      </c>
      <c r="D22" s="21"/>
      <c r="E22" s="27" t="b">
        <f>IF(Tabela18[[#This Row],[Carga]]&lt;&gt;0,1)</f>
        <v>0</v>
      </c>
      <c r="F22" s="22"/>
      <c r="G22" s="21" t="s">
        <v>68</v>
      </c>
      <c r="H22" s="21"/>
      <c r="I22" s="27" t="b">
        <f>IF(Tabela19[[#This Row],[Carga]]&lt;&gt;0,1)</f>
        <v>0</v>
      </c>
      <c r="J22" s="22"/>
      <c r="K22" s="21" t="s">
        <v>71</v>
      </c>
      <c r="L22" s="21"/>
      <c r="M22" s="27" t="b">
        <f>IF(Tabela110[[#This Row],[Carga]]&lt;&gt;0,1)</f>
        <v>0</v>
      </c>
      <c r="N22" s="22"/>
      <c r="O22" s="24" t="s">
        <v>44</v>
      </c>
      <c r="P22" s="21"/>
      <c r="Q22" s="27" t="b">
        <f>IF(Tabela111[[#This Row],[Carga]]&lt;&gt;0,1)</f>
        <v>0</v>
      </c>
      <c r="R22" s="22"/>
      <c r="S22" s="23"/>
      <c r="T22" s="23"/>
      <c r="U22" s="23"/>
      <c r="V22" s="23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</row>
    <row r="23" spans="1:38" ht="18.5" x14ac:dyDescent="0.35">
      <c r="A23" s="22"/>
      <c r="B23" s="22"/>
      <c r="C23" s="21" t="s">
        <v>63</v>
      </c>
      <c r="D23" s="21"/>
      <c r="E23" s="27" t="b">
        <f>IF(Tabela18[[#This Row],[Carga]]&lt;&gt;0,1)</f>
        <v>0</v>
      </c>
      <c r="F23" s="22"/>
      <c r="G23" s="21" t="s">
        <v>69</v>
      </c>
      <c r="H23" s="21"/>
      <c r="I23" s="27" t="b">
        <f>IF(Tabela19[[#This Row],[Carga]]&lt;&gt;0,1)</f>
        <v>0</v>
      </c>
      <c r="J23" s="22"/>
      <c r="K23" s="21" t="s">
        <v>72</v>
      </c>
      <c r="L23" s="21"/>
      <c r="M23" s="27" t="b">
        <f>IF(Tabela110[[#This Row],[Carga]]&lt;&gt;0,1)</f>
        <v>0</v>
      </c>
      <c r="N23" s="22"/>
      <c r="O23" s="24" t="s">
        <v>45</v>
      </c>
      <c r="P23" s="21"/>
      <c r="Q23" s="27" t="b">
        <f>IF(Tabela111[[#This Row],[Carga]]&lt;&gt;0,1)</f>
        <v>0</v>
      </c>
      <c r="R23" s="22"/>
      <c r="S23" s="23"/>
      <c r="T23" s="23"/>
      <c r="U23" s="23"/>
      <c r="V23" s="23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</row>
    <row r="24" spans="1:38" ht="18.5" x14ac:dyDescent="0.35">
      <c r="A24" s="22"/>
      <c r="B24" s="22"/>
      <c r="C24" s="21" t="s">
        <v>64</v>
      </c>
      <c r="D24" s="21"/>
      <c r="E24" s="27" t="b">
        <f>IF(Tabela18[[#This Row],[Carga]]&lt;&gt;0,1)</f>
        <v>0</v>
      </c>
      <c r="F24" s="22"/>
      <c r="G24" s="21" t="s">
        <v>70</v>
      </c>
      <c r="H24" s="21"/>
      <c r="I24" s="27" t="b">
        <f>IF(Tabela19[[#This Row],[Carga]]&lt;&gt;0,1)</f>
        <v>0</v>
      </c>
      <c r="J24" s="22"/>
      <c r="K24" s="21" t="s">
        <v>73</v>
      </c>
      <c r="L24" s="21"/>
      <c r="M24" s="27" t="b">
        <f>IF(Tabela110[[#This Row],[Carga]]&lt;&gt;0,1)</f>
        <v>0</v>
      </c>
      <c r="N24" s="22"/>
      <c r="O24" s="24" t="s">
        <v>46</v>
      </c>
      <c r="P24" s="21"/>
      <c r="Q24" s="27" t="b">
        <f>IF(Tabela111[[#This Row],[Carga]]&lt;&gt;0,1)</f>
        <v>0</v>
      </c>
      <c r="R24" s="22"/>
      <c r="S24" s="23"/>
      <c r="T24" s="23"/>
      <c r="U24" s="23"/>
      <c r="V24" s="23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</row>
    <row r="25" spans="1:38" ht="18.5" x14ac:dyDescent="0.35">
      <c r="A25" s="22"/>
      <c r="B25" s="22"/>
      <c r="C25" s="21" t="s">
        <v>65</v>
      </c>
      <c r="D25" s="21"/>
      <c r="E25" s="27" t="b">
        <f>IF(Tabela18[[#This Row],[Carga]]&lt;&gt;0,1)</f>
        <v>0</v>
      </c>
      <c r="F25" s="22"/>
      <c r="G25" s="21"/>
      <c r="H25" s="21"/>
      <c r="I25" s="27" t="b">
        <f>IF(Tabela19[[#This Row],[Carga]]&lt;&gt;0,1)</f>
        <v>0</v>
      </c>
      <c r="J25" s="22"/>
      <c r="K25" s="21" t="s">
        <v>74</v>
      </c>
      <c r="L25" s="21"/>
      <c r="M25" s="27" t="b">
        <f>IF(Tabela110[[#This Row],[Carga]]&lt;&gt;0,1)</f>
        <v>0</v>
      </c>
      <c r="N25" s="22"/>
      <c r="O25" s="24" t="s">
        <v>47</v>
      </c>
      <c r="P25" s="21"/>
      <c r="Q25" s="27" t="b">
        <f>IF(Tabela111[[#This Row],[Carga]]&lt;&gt;0,1)</f>
        <v>0</v>
      </c>
      <c r="R25" s="22"/>
      <c r="S25" s="23"/>
      <c r="T25" s="23"/>
      <c r="U25" s="23"/>
      <c r="V25" s="23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</row>
    <row r="26" spans="1:38" ht="18.5" x14ac:dyDescent="0.35">
      <c r="A26" s="22"/>
      <c r="B26" s="22"/>
      <c r="C26" s="21" t="s">
        <v>84</v>
      </c>
      <c r="D26" s="21"/>
      <c r="E26" s="27" t="b">
        <f>IF(Tabela18[[#This Row],[Carga]]&lt;&gt;0,1)</f>
        <v>0</v>
      </c>
      <c r="F26" s="22"/>
      <c r="G26" s="21"/>
      <c r="H26" s="21"/>
      <c r="I26" s="27" t="b">
        <f>IF(Tabela19[[#This Row],[Carga]]&lt;&gt;0,1)</f>
        <v>0</v>
      </c>
      <c r="J26" s="22"/>
      <c r="K26" s="21" t="s">
        <v>75</v>
      </c>
      <c r="L26" s="21"/>
      <c r="M26" s="27" t="b">
        <f>IF(Tabela110[[#This Row],[Carga]]&lt;&gt;0,1)</f>
        <v>0</v>
      </c>
      <c r="N26" s="22"/>
      <c r="O26" s="24" t="s">
        <v>48</v>
      </c>
      <c r="P26" s="21"/>
      <c r="Q26" s="27" t="b">
        <f>IF(Tabela111[[#This Row],[Carga]]&lt;&gt;0,1)</f>
        <v>0</v>
      </c>
      <c r="R26" s="22"/>
      <c r="S26" s="23"/>
      <c r="T26" s="23"/>
      <c r="U26" s="23"/>
      <c r="V26" s="23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</row>
    <row r="27" spans="1:38" ht="18.5" x14ac:dyDescent="0.35">
      <c r="A27" s="22"/>
      <c r="B27" s="22"/>
      <c r="C27" s="21" t="s">
        <v>66</v>
      </c>
      <c r="D27" s="21"/>
      <c r="E27" s="27" t="b">
        <f>IF(Tabela18[[#This Row],[Carga]]&lt;&gt;0,1)</f>
        <v>0</v>
      </c>
      <c r="F27" s="22"/>
      <c r="G27" s="21"/>
      <c r="H27" s="21"/>
      <c r="I27" s="27" t="b">
        <f>IF(Tabela19[[#This Row],[Carga]]&lt;&gt;0,1)</f>
        <v>0</v>
      </c>
      <c r="J27" s="22"/>
      <c r="K27" s="21" t="s">
        <v>19</v>
      </c>
      <c r="L27" s="21"/>
      <c r="M27" s="27" t="b">
        <f>IF(Tabela110[[#This Row],[Carga]]&lt;&gt;0,1)</f>
        <v>0</v>
      </c>
      <c r="N27" s="22"/>
      <c r="O27" s="24"/>
      <c r="P27" s="21"/>
      <c r="Q27" s="27" t="b">
        <f>IF(Tabela111[[#This Row],[Carga]]&lt;&gt;0,1)</f>
        <v>0</v>
      </c>
      <c r="R27" s="22"/>
      <c r="S27" s="23"/>
      <c r="T27" s="23"/>
      <c r="U27" s="23"/>
      <c r="V27" s="23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</row>
    <row r="28" spans="1:38" ht="18.5" x14ac:dyDescent="0.35">
      <c r="A28" s="22"/>
      <c r="B28" s="22"/>
      <c r="C28" s="21" t="s">
        <v>76</v>
      </c>
      <c r="D28" s="21"/>
      <c r="E28" s="27" t="b">
        <f>IF(Tabela18[[#This Row],[Carga]]&lt;&gt;0,1)</f>
        <v>0</v>
      </c>
      <c r="F28" s="22"/>
      <c r="G28" s="21"/>
      <c r="H28" s="21"/>
      <c r="I28" s="27" t="b">
        <f>IF(Tabela19[[#This Row],[Carga]]&lt;&gt;0,1)</f>
        <v>0</v>
      </c>
      <c r="J28" s="22"/>
      <c r="K28" s="21"/>
      <c r="L28" s="21"/>
      <c r="M28" s="27" t="b">
        <f>IF(Tabela110[[#This Row],[Carga]]&lt;&gt;0,1)</f>
        <v>0</v>
      </c>
      <c r="N28" s="22"/>
      <c r="O28" s="24"/>
      <c r="P28" s="21"/>
      <c r="Q28" s="27" t="b">
        <f>IF(Tabela111[[#This Row],[Carga]]&lt;&gt;0,1)</f>
        <v>0</v>
      </c>
      <c r="R28" s="22"/>
      <c r="S28" s="23"/>
      <c r="T28" s="23"/>
      <c r="U28" s="23"/>
      <c r="V28" s="23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</row>
    <row r="29" spans="1:38" ht="18.5" x14ac:dyDescent="0.35">
      <c r="A29" s="22"/>
      <c r="B29" s="22"/>
      <c r="C29" s="21" t="s">
        <v>77</v>
      </c>
      <c r="D29" s="21"/>
      <c r="E29" s="27" t="b">
        <f>IF(Tabela18[[#This Row],[Carga]]&lt;&gt;0,1)</f>
        <v>0</v>
      </c>
      <c r="F29" s="22"/>
      <c r="G29" s="21"/>
      <c r="H29" s="21"/>
      <c r="I29" s="27" t="b">
        <f>IF(Tabela19[[#This Row],[Carga]]&lt;&gt;0,1)</f>
        <v>0</v>
      </c>
      <c r="J29" s="22"/>
      <c r="K29" s="21"/>
      <c r="L29" s="21"/>
      <c r="M29" s="27" t="b">
        <f>IF(Tabela110[[#This Row],[Carga]]&lt;&gt;0,1)</f>
        <v>0</v>
      </c>
      <c r="N29" s="22"/>
      <c r="O29" s="24"/>
      <c r="P29" s="21"/>
      <c r="Q29" s="27" t="b">
        <f>IF(Tabela111[[#This Row],[Carga]]&lt;&gt;0,1)</f>
        <v>0</v>
      </c>
      <c r="R29" s="22"/>
      <c r="S29" s="23"/>
      <c r="T29" s="23"/>
      <c r="U29" s="23"/>
      <c r="V29" s="23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</row>
    <row r="30" spans="1:38" ht="18.5" x14ac:dyDescent="0.35">
      <c r="A30" s="22"/>
      <c r="B30" s="22"/>
      <c r="C30" s="21" t="s">
        <v>85</v>
      </c>
      <c r="D30" s="21"/>
      <c r="E30" s="27" t="b">
        <f>IF(Tabela18[[#This Row],[Carga]]&lt;&gt;0,1)</f>
        <v>0</v>
      </c>
      <c r="F30" s="22"/>
      <c r="G30" s="21"/>
      <c r="H30" s="21"/>
      <c r="I30" s="27" t="b">
        <f>IF(Tabela19[[#This Row],[Carga]]&lt;&gt;0,1)</f>
        <v>0</v>
      </c>
      <c r="J30" s="22"/>
      <c r="K30" s="21"/>
      <c r="L30" s="21"/>
      <c r="M30" s="27" t="b">
        <f>IF(Tabela110[[#This Row],[Carga]]&lt;&gt;0,1)</f>
        <v>0</v>
      </c>
      <c r="N30" s="22"/>
      <c r="O30" s="24"/>
      <c r="P30" s="21"/>
      <c r="Q30" s="27" t="b">
        <f>IF(Tabela111[[#This Row],[Carga]]&lt;&gt;0,1)</f>
        <v>0</v>
      </c>
      <c r="R30" s="22"/>
      <c r="S30" s="23"/>
      <c r="T30" s="23"/>
      <c r="U30" s="23"/>
      <c r="V30" s="23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</row>
    <row r="31" spans="1:38" ht="18.5" x14ac:dyDescent="0.35">
      <c r="A31" s="22"/>
      <c r="B31" s="22"/>
      <c r="C31" s="21"/>
      <c r="D31" s="21"/>
      <c r="E31" s="27" t="b">
        <f>IF(Tabela18[[#This Row],[Carga]]&lt;&gt;0,1)</f>
        <v>0</v>
      </c>
      <c r="F31" s="22"/>
      <c r="G31" s="21"/>
      <c r="H31" s="21"/>
      <c r="I31" s="27" t="b">
        <f>IF(Tabela19[[#This Row],[Carga]]&lt;&gt;0,1)</f>
        <v>0</v>
      </c>
      <c r="J31" s="22"/>
      <c r="K31" s="21"/>
      <c r="L31" s="21"/>
      <c r="M31" s="27" t="b">
        <f>IF(Tabela110[[#This Row],[Carga]]&lt;&gt;0,1)</f>
        <v>0</v>
      </c>
      <c r="N31" s="22"/>
      <c r="O31" s="24"/>
      <c r="P31" s="21"/>
      <c r="Q31" s="27" t="b">
        <f>IF(Tabela111[[#This Row],[Carga]]&lt;&gt;0,1)</f>
        <v>0</v>
      </c>
      <c r="R31" s="22"/>
      <c r="S31" s="23"/>
      <c r="T31" s="23"/>
      <c r="U31" s="23"/>
      <c r="V31" s="23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</row>
    <row r="32" spans="1:38" ht="18.5" x14ac:dyDescent="0.35">
      <c r="A32" s="22"/>
      <c r="B32" s="22"/>
      <c r="C32" s="21"/>
      <c r="D32" s="21"/>
      <c r="E32" s="27" t="b">
        <f>IF(Tabela18[[#This Row],[Carga]]&lt;&gt;0,1)</f>
        <v>0</v>
      </c>
      <c r="F32" s="22"/>
      <c r="G32" s="21"/>
      <c r="H32" s="21"/>
      <c r="I32" s="27" t="b">
        <f>IF(Tabela19[[#This Row],[Carga]]&lt;&gt;0,1)</f>
        <v>0</v>
      </c>
      <c r="J32" s="22"/>
      <c r="K32" s="21"/>
      <c r="L32" s="21"/>
      <c r="M32" s="27" t="b">
        <f>IF(Tabela110[[#This Row],[Carga]]&lt;&gt;0,1)</f>
        <v>0</v>
      </c>
      <c r="N32" s="22"/>
      <c r="O32" s="24"/>
      <c r="P32" s="21"/>
      <c r="Q32" s="27" t="b">
        <f>IF(Tabela111[[#This Row],[Carga]]&lt;&gt;0,1)</f>
        <v>0</v>
      </c>
      <c r="R32" s="22"/>
      <c r="S32" s="23"/>
      <c r="T32" s="23"/>
      <c r="U32" s="23"/>
      <c r="V32" s="23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</row>
    <row r="33" spans="1:38" ht="18.5" x14ac:dyDescent="0.35">
      <c r="A33" s="22"/>
      <c r="B33" s="22"/>
      <c r="C33" s="21"/>
      <c r="D33" s="21"/>
      <c r="E33" s="27" t="b">
        <f>IF(Tabela18[[#This Row],[Carga]]&lt;&gt;0,1)</f>
        <v>0</v>
      </c>
      <c r="F33" s="22"/>
      <c r="G33" s="21"/>
      <c r="H33" s="21"/>
      <c r="I33" s="27" t="b">
        <f>IF(Tabela19[[#This Row],[Carga]]&lt;&gt;0,1)</f>
        <v>0</v>
      </c>
      <c r="J33" s="22"/>
      <c r="K33" s="21"/>
      <c r="L33" s="21"/>
      <c r="M33" s="27" t="b">
        <f>IF(Tabela110[[#This Row],[Carga]]&lt;&gt;0,1)</f>
        <v>0</v>
      </c>
      <c r="N33" s="22"/>
      <c r="O33" s="24"/>
      <c r="P33" s="21"/>
      <c r="Q33" s="27" t="b">
        <f>IF(Tabela111[[#This Row],[Carga]]&lt;&gt;0,1)</f>
        <v>0</v>
      </c>
      <c r="R33" s="22"/>
      <c r="S33" s="23"/>
      <c r="T33" s="23"/>
      <c r="U33" s="23"/>
      <c r="V33" s="23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</row>
    <row r="34" spans="1:38" ht="18.5" x14ac:dyDescent="0.35">
      <c r="A34" s="22"/>
      <c r="B34" s="22"/>
      <c r="C34" s="21"/>
      <c r="D34" s="21"/>
      <c r="E34" s="27" t="b">
        <f>IF(Tabela18[[#This Row],[Carga]]&lt;&gt;0,1)</f>
        <v>0</v>
      </c>
      <c r="F34" s="22"/>
      <c r="G34" s="21"/>
      <c r="H34" s="21"/>
      <c r="I34" s="27" t="b">
        <f>IF(Tabela19[[#This Row],[Carga]]&lt;&gt;0,1)</f>
        <v>0</v>
      </c>
      <c r="J34" s="22"/>
      <c r="K34" s="21"/>
      <c r="L34" s="21"/>
      <c r="M34" s="27" t="b">
        <f>IF(Tabela110[[#This Row],[Carga]]&lt;&gt;0,1)</f>
        <v>0</v>
      </c>
      <c r="N34" s="22"/>
      <c r="O34" s="25"/>
      <c r="P34" s="21"/>
      <c r="Q34" s="27" t="b">
        <f>IF(Tabela111[[#This Row],[Carga]]&lt;&gt;0,1)</f>
        <v>0</v>
      </c>
      <c r="R34" s="22"/>
      <c r="S34" s="23"/>
      <c r="T34" s="23"/>
      <c r="U34" s="23"/>
      <c r="V34" s="23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</row>
    <row r="35" spans="1:38" ht="18.5" x14ac:dyDescent="0.35">
      <c r="A35" s="22"/>
      <c r="B35" s="22"/>
      <c r="C35" s="22"/>
      <c r="D35" s="22"/>
      <c r="E35" s="28">
        <f>IF(SUM(E21:E34) &lt;&gt;0,SUM(E21:E34),1)</f>
        <v>1</v>
      </c>
      <c r="F35" s="22"/>
      <c r="G35" s="22"/>
      <c r="H35" s="22"/>
      <c r="I35" s="28">
        <f>IF(SUM(I21:I34) &lt;&gt;0,SUM(I21:I34),1)</f>
        <v>1</v>
      </c>
      <c r="J35" s="22"/>
      <c r="K35" s="22"/>
      <c r="L35" s="22"/>
      <c r="M35" s="28">
        <f>IF(SUM(M21:M34) &lt;&gt;0,SUM(M21:M34),1)</f>
        <v>1</v>
      </c>
      <c r="N35" s="22"/>
      <c r="O35" s="22"/>
      <c r="P35" s="22"/>
      <c r="Q35" s="28">
        <f>IF(SUM(Q21:Q34) &lt;&gt;0,SUM(Q21:Q34),1)</f>
        <v>1</v>
      </c>
      <c r="R35" s="22"/>
      <c r="S35" s="23"/>
      <c r="T35" s="23"/>
      <c r="U35" s="23"/>
      <c r="V35" s="23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</row>
    <row r="36" spans="1:38" x14ac:dyDescent="0.35">
      <c r="A36" s="23"/>
      <c r="B36" s="23"/>
      <c r="C36" s="23"/>
      <c r="D36" s="23"/>
      <c r="E36" s="29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</row>
    <row r="37" spans="1:38" x14ac:dyDescent="0.3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</row>
    <row r="38" spans="1:38" x14ac:dyDescent="0.3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</row>
    <row r="39" spans="1:38" ht="11" customHeight="1" x14ac:dyDescent="0.3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</row>
    <row r="40" spans="1:38" ht="35" hidden="1" customHeight="1" x14ac:dyDescent="0.35">
      <c r="A40" s="26">
        <f>SUM(Tabela1[Carga])/C16</f>
        <v>0</v>
      </c>
      <c r="B40" s="26">
        <f>SUM(Tabela14[Carga])/G16</f>
        <v>0</v>
      </c>
      <c r="C40" s="26">
        <f>SUM(Tabela15[Carga])/K16</f>
        <v>0</v>
      </c>
      <c r="D40" s="26">
        <f>SUM(Tabela16[Carga])/O16</f>
        <v>0</v>
      </c>
      <c r="E40" s="26">
        <f>SUM(Tabela17[Carga])/S16</f>
        <v>0</v>
      </c>
      <c r="F40" s="26">
        <f>SUM(Tabela18[Carga])/E35</f>
        <v>0</v>
      </c>
      <c r="G40" s="26">
        <f>SUM(Tabela19[Carga])/I35</f>
        <v>0</v>
      </c>
      <c r="H40" s="26">
        <f>SUM(Tabela110[Carga])/M35</f>
        <v>0</v>
      </c>
      <c r="I40" s="26">
        <f>SUM(Tabela111[Carga])/Q35</f>
        <v>0</v>
      </c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</row>
    <row r="41" spans="1:38" x14ac:dyDescent="0.3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</row>
    <row r="42" spans="1:38" x14ac:dyDescent="0.3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</row>
    <row r="43" spans="1:38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</row>
    <row r="44" spans="1:38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</row>
    <row r="45" spans="1:38" x14ac:dyDescent="0.3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</row>
    <row r="46" spans="1:38" x14ac:dyDescent="0.3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</row>
    <row r="47" spans="1:38" x14ac:dyDescent="0.3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</row>
    <row r="48" spans="1:38" x14ac:dyDescent="0.3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</row>
    <row r="49" spans="1:38" x14ac:dyDescent="0.3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</row>
    <row r="50" spans="1:38" x14ac:dyDescent="0.3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</row>
    <row r="51" spans="1:38" x14ac:dyDescent="0.3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</row>
    <row r="52" spans="1:38" x14ac:dyDescent="0.3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</row>
    <row r="53" spans="1:38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</row>
    <row r="54" spans="1:38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</row>
    <row r="55" spans="1:38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</row>
    <row r="56" spans="1:38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</row>
    <row r="57" spans="1:38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</row>
    <row r="58" spans="1:38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</row>
    <row r="59" spans="1:38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</row>
    <row r="60" spans="1:38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</row>
    <row r="61" spans="1:38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</row>
    <row r="62" spans="1:38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</row>
    <row r="63" spans="1:38" x14ac:dyDescent="0.3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</row>
    <row r="64" spans="1:38" x14ac:dyDescent="0.3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</row>
    <row r="65" spans="1:38" x14ac:dyDescent="0.3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</row>
    <row r="66" spans="1:38" x14ac:dyDescent="0.3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</row>
    <row r="67" spans="1:38" x14ac:dyDescent="0.3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</row>
    <row r="68" spans="1:38" x14ac:dyDescent="0.3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</row>
    <row r="69" spans="1:38" x14ac:dyDescent="0.3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</row>
    <row r="70" spans="1:38" x14ac:dyDescent="0.3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</row>
    <row r="71" spans="1:38" x14ac:dyDescent="0.3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</row>
    <row r="72" spans="1:38" x14ac:dyDescent="0.3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</row>
    <row r="73" spans="1:38" x14ac:dyDescent="0.3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</row>
    <row r="74" spans="1:38" x14ac:dyDescent="0.3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</row>
    <row r="75" spans="1:38" x14ac:dyDescent="0.3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</row>
    <row r="76" spans="1:38" x14ac:dyDescent="0.3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</row>
    <row r="77" spans="1:38" x14ac:dyDescent="0.3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</row>
    <row r="78" spans="1:38" x14ac:dyDescent="0.3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</row>
    <row r="79" spans="1:38" x14ac:dyDescent="0.3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</row>
    <row r="80" spans="1:38" x14ac:dyDescent="0.3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</row>
    <row r="81" spans="1:38" x14ac:dyDescent="0.3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</row>
    <row r="82" spans="1:38" x14ac:dyDescent="0.3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</row>
    <row r="83" spans="1:38" x14ac:dyDescent="0.3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</row>
    <row r="84" spans="1:38" x14ac:dyDescent="0.3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</row>
    <row r="85" spans="1:38" x14ac:dyDescent="0.3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</row>
    <row r="86" spans="1:38" x14ac:dyDescent="0.3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</row>
    <row r="87" spans="1:38" x14ac:dyDescent="0.3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</row>
    <row r="88" spans="1:38" x14ac:dyDescent="0.3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</row>
    <row r="89" spans="1:38" x14ac:dyDescent="0.3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</row>
    <row r="90" spans="1:38" x14ac:dyDescent="0.3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</row>
    <row r="91" spans="1:38" x14ac:dyDescent="0.3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</row>
    <row r="92" spans="1:38" x14ac:dyDescent="0.3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</row>
    <row r="93" spans="1:38" x14ac:dyDescent="0.3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</row>
    <row r="94" spans="1:38" x14ac:dyDescent="0.3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</row>
    <row r="95" spans="1:38" x14ac:dyDescent="0.3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</row>
    <row r="96" spans="1:38" x14ac:dyDescent="0.3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</row>
    <row r="97" spans="1:38" x14ac:dyDescent="0.3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</row>
    <row r="98" spans="1:38" x14ac:dyDescent="0.3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</row>
    <row r="99" spans="1:38" x14ac:dyDescent="0.3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</row>
    <row r="100" spans="1:38" x14ac:dyDescent="0.3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</row>
    <row r="101" spans="1:38" x14ac:dyDescent="0.3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</row>
    <row r="102" spans="1:38" x14ac:dyDescent="0.3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</row>
    <row r="103" spans="1:38" x14ac:dyDescent="0.3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</row>
    <row r="104" spans="1:38" x14ac:dyDescent="0.3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</row>
    <row r="105" spans="1:38" x14ac:dyDescent="0.3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:38" x14ac:dyDescent="0.3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</row>
    <row r="107" spans="1:38" x14ac:dyDescent="0.3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:38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</row>
    <row r="109" spans="1:38" x14ac:dyDescent="0.3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</row>
    <row r="110" spans="1:38" x14ac:dyDescent="0.3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</row>
    <row r="111" spans="1:38" x14ac:dyDescent="0.3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viar_dados">
                <anchor moveWithCells="1" sizeWithCells="1">
                  <from>
                    <xdr:col>0</xdr:col>
                    <xdr:colOff>76200</xdr:colOff>
                    <xdr:row>17</xdr:row>
                    <xdr:rowOff>38100</xdr:rowOff>
                  </from>
                  <to>
                    <xdr:col>0</xdr:col>
                    <xdr:colOff>1587500</xdr:colOff>
                    <xdr:row>22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26B7-763E-466C-98B2-63806000F2D8}">
  <sheetPr codeName="Planilha3"/>
  <dimension ref="AF12"/>
  <sheetViews>
    <sheetView zoomScale="85" zoomScaleNormal="85" workbookViewId="0">
      <selection activeCell="M80" sqref="M80"/>
    </sheetView>
  </sheetViews>
  <sheetFormatPr defaultRowHeight="14.5" x14ac:dyDescent="0.35"/>
  <sheetData>
    <row r="12" spans="32:32" x14ac:dyDescent="0.35">
      <c r="AF12" s="20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F0171-C9D7-4DFD-A298-8D37052B8C47}">
  <sheetPr codeName="Planilha4"/>
  <dimension ref="A1:BI38"/>
  <sheetViews>
    <sheetView zoomScale="85" zoomScaleNormal="85" workbookViewId="0">
      <selection activeCell="BA1" sqref="BA1"/>
    </sheetView>
  </sheetViews>
  <sheetFormatPr defaultRowHeight="14.5" x14ac:dyDescent="0.35"/>
  <cols>
    <col min="1" max="1" width="8.7265625" customWidth="1"/>
    <col min="11" max="11" width="10.7265625" customWidth="1"/>
    <col min="12" max="12" width="11.08984375" customWidth="1"/>
    <col min="13" max="13" width="11.26953125" customWidth="1"/>
    <col min="14" max="14" width="12.08984375" bestFit="1" customWidth="1"/>
    <col min="15" max="15" width="9.90625" customWidth="1"/>
    <col min="16" max="16" width="10.08984375" customWidth="1"/>
    <col min="17" max="17" width="10.7265625" bestFit="1" customWidth="1"/>
    <col min="18" max="18" width="13" bestFit="1" customWidth="1"/>
    <col min="19" max="19" width="10.08984375" customWidth="1"/>
  </cols>
  <sheetData>
    <row r="1" spans="1:61" x14ac:dyDescent="0.35">
      <c r="A1" s="7"/>
      <c r="B1" s="12"/>
      <c r="C1" s="13"/>
      <c r="D1" s="14"/>
      <c r="E1" s="15"/>
      <c r="F1" s="16"/>
      <c r="G1" s="17"/>
      <c r="H1" s="18"/>
      <c r="I1" s="19"/>
      <c r="Z1">
        <v>1</v>
      </c>
      <c r="AA1" s="7">
        <v>1</v>
      </c>
      <c r="AB1" s="1">
        <v>1</v>
      </c>
      <c r="AC1" s="8">
        <v>1</v>
      </c>
      <c r="AD1" s="9">
        <v>1</v>
      </c>
      <c r="AE1" s="3">
        <v>1</v>
      </c>
      <c r="AF1" s="5">
        <v>1</v>
      </c>
      <c r="AG1" s="2">
        <v>1</v>
      </c>
      <c r="AH1" s="4">
        <v>1</v>
      </c>
      <c r="AI1" s="6">
        <v>1</v>
      </c>
      <c r="BA1" s="7"/>
      <c r="BB1" s="1"/>
      <c r="BC1" s="8"/>
      <c r="BD1" s="9"/>
      <c r="BE1" s="3"/>
      <c r="BF1" s="5"/>
      <c r="BG1" s="2"/>
      <c r="BH1" s="4"/>
      <c r="BI1" s="6"/>
    </row>
    <row r="2" spans="1:61" x14ac:dyDescent="0.35">
      <c r="A2" s="7"/>
      <c r="B2" s="12"/>
      <c r="C2" s="13"/>
      <c r="D2" s="14"/>
      <c r="E2" s="15"/>
      <c r="F2" s="16"/>
      <c r="G2" s="17"/>
      <c r="H2" s="18"/>
      <c r="I2" s="19"/>
      <c r="BA2" s="7"/>
      <c r="BB2" s="1"/>
      <c r="BC2" s="8"/>
      <c r="BD2" s="9"/>
      <c r="BE2" s="3"/>
      <c r="BF2" s="5"/>
      <c r="BG2" s="2"/>
      <c r="BH2" s="4"/>
      <c r="BI2" s="6"/>
    </row>
    <row r="3" spans="1:61" x14ac:dyDescent="0.35">
      <c r="A3" s="7"/>
      <c r="B3" s="12"/>
      <c r="C3" s="13"/>
      <c r="D3" s="14"/>
      <c r="E3" s="15"/>
      <c r="F3" s="16"/>
      <c r="G3" s="17"/>
      <c r="H3" s="18"/>
      <c r="I3" s="19"/>
      <c r="BA3" s="7"/>
      <c r="BB3" s="1"/>
      <c r="BC3" s="8"/>
      <c r="BD3" s="9"/>
      <c r="BE3" s="3"/>
      <c r="BF3" s="5"/>
      <c r="BG3" s="2"/>
      <c r="BH3" s="4"/>
      <c r="BI3" s="6"/>
    </row>
    <row r="4" spans="1:61" x14ac:dyDescent="0.35">
      <c r="A4" s="7"/>
      <c r="B4" s="1"/>
      <c r="C4" s="8"/>
      <c r="D4" s="9"/>
      <c r="E4" s="3"/>
      <c r="F4" s="5"/>
      <c r="G4" s="2"/>
      <c r="H4" s="4"/>
      <c r="I4" s="6"/>
      <c r="BA4" s="7"/>
      <c r="BB4" s="1"/>
      <c r="BC4" s="8"/>
      <c r="BD4" s="9"/>
      <c r="BE4" s="3"/>
      <c r="BF4" s="5"/>
      <c r="BG4" s="2"/>
      <c r="BH4" s="4"/>
      <c r="BI4" s="6"/>
    </row>
    <row r="5" spans="1:61" x14ac:dyDescent="0.35">
      <c r="A5" s="7"/>
      <c r="B5" s="1"/>
      <c r="C5" s="8"/>
      <c r="D5" s="9"/>
      <c r="E5" s="3"/>
      <c r="F5" s="5"/>
      <c r="G5" s="2"/>
      <c r="H5" s="4"/>
      <c r="I5" s="6"/>
      <c r="BA5" s="7"/>
      <c r="BB5" s="1"/>
      <c r="BC5" s="8"/>
      <c r="BD5" s="9"/>
      <c r="BE5" s="3"/>
      <c r="BF5" s="5"/>
      <c r="BG5" s="2"/>
      <c r="BH5" s="4"/>
      <c r="BI5" s="6"/>
    </row>
    <row r="6" spans="1:61" x14ac:dyDescent="0.35">
      <c r="A6" s="7"/>
      <c r="B6" s="1"/>
      <c r="C6" s="8"/>
      <c r="D6" s="9"/>
      <c r="E6" s="3"/>
      <c r="F6" s="5"/>
      <c r="G6" s="2"/>
      <c r="H6" s="4"/>
      <c r="I6" s="6"/>
      <c r="BA6" s="7"/>
      <c r="BB6" s="1"/>
      <c r="BC6" s="8"/>
      <c r="BD6" s="9"/>
      <c r="BE6" s="3"/>
      <c r="BF6" s="5"/>
      <c r="BG6" s="2"/>
      <c r="BH6" s="4"/>
      <c r="BI6" s="6"/>
    </row>
    <row r="7" spans="1:61" x14ac:dyDescent="0.35">
      <c r="A7" s="7"/>
      <c r="B7" s="1"/>
      <c r="C7" s="8"/>
      <c r="D7" s="9"/>
      <c r="E7" s="3"/>
      <c r="F7" s="5"/>
      <c r="G7" s="2"/>
      <c r="H7" s="4"/>
      <c r="I7" s="6"/>
      <c r="BA7" s="7"/>
      <c r="BB7" s="1"/>
      <c r="BC7" s="8"/>
      <c r="BD7" s="9"/>
      <c r="BE7" s="3"/>
      <c r="BF7" s="5"/>
      <c r="BG7" s="2"/>
      <c r="BH7" s="4"/>
      <c r="BI7" s="6"/>
    </row>
    <row r="8" spans="1:61" x14ac:dyDescent="0.35">
      <c r="A8" s="7"/>
      <c r="B8" s="1"/>
      <c r="C8" s="8"/>
      <c r="D8" s="9"/>
      <c r="E8" s="3"/>
      <c r="F8" s="5"/>
      <c r="G8" s="2"/>
      <c r="H8" s="4"/>
      <c r="I8" s="6"/>
      <c r="BA8" s="7"/>
      <c r="BB8" s="1"/>
      <c r="BC8" s="8"/>
      <c r="BD8" s="9"/>
      <c r="BE8" s="3"/>
      <c r="BF8" s="5"/>
      <c r="BG8" s="2"/>
      <c r="BH8" s="4"/>
      <c r="BI8" s="6"/>
    </row>
    <row r="9" spans="1:61" x14ac:dyDescent="0.35">
      <c r="A9" s="7"/>
      <c r="B9" s="1"/>
      <c r="C9" s="8"/>
      <c r="D9" s="9"/>
      <c r="E9" s="3"/>
      <c r="F9" s="5"/>
      <c r="G9" s="2"/>
      <c r="H9" s="4"/>
      <c r="I9" s="6"/>
      <c r="BA9" s="7"/>
      <c r="BB9" s="1"/>
      <c r="BC9" s="8"/>
      <c r="BD9" s="9"/>
      <c r="BE9" s="3"/>
      <c r="BF9" s="5"/>
      <c r="BG9" s="2"/>
      <c r="BH9" s="4"/>
      <c r="BI9" s="6"/>
    </row>
    <row r="10" spans="1:61" x14ac:dyDescent="0.35">
      <c r="A10" s="7"/>
      <c r="B10" s="1"/>
      <c r="C10" s="8"/>
      <c r="D10" s="9"/>
      <c r="E10" s="3"/>
      <c r="F10" s="5"/>
      <c r="G10" s="2"/>
      <c r="H10" s="4"/>
      <c r="I10" s="6"/>
      <c r="BA10" s="7"/>
      <c r="BB10" s="1"/>
      <c r="BC10" s="8"/>
      <c r="BD10" s="9"/>
      <c r="BE10" s="3"/>
      <c r="BF10" s="5"/>
      <c r="BG10" s="2"/>
      <c r="BH10" s="4"/>
      <c r="BI10" s="6"/>
    </row>
    <row r="11" spans="1:61" x14ac:dyDescent="0.35">
      <c r="A11" s="7"/>
      <c r="B11" s="1"/>
      <c r="C11" s="8"/>
      <c r="D11" s="9"/>
      <c r="E11" s="3"/>
      <c r="F11" s="5"/>
      <c r="G11" s="2"/>
      <c r="H11" s="4"/>
      <c r="I11" s="6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BA11" s="7"/>
      <c r="BB11" s="1"/>
      <c r="BC11" s="8"/>
      <c r="BD11" s="9"/>
      <c r="BE11" s="3"/>
      <c r="BF11" s="5"/>
      <c r="BG11" s="2"/>
      <c r="BH11" s="4"/>
      <c r="BI11" s="6"/>
    </row>
    <row r="12" spans="1:61" x14ac:dyDescent="0.35">
      <c r="A12" s="7"/>
      <c r="B12" s="1"/>
      <c r="C12" s="8"/>
      <c r="D12" s="9"/>
      <c r="E12" s="3"/>
      <c r="F12" s="5"/>
      <c r="G12" s="2"/>
      <c r="H12" s="4"/>
      <c r="I12" s="6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BA12" s="7"/>
      <c r="BB12" s="1"/>
      <c r="BC12" s="8"/>
      <c r="BD12" s="9"/>
      <c r="BE12" s="3"/>
      <c r="BF12" s="5"/>
      <c r="BG12" s="2"/>
      <c r="BH12" s="4"/>
      <c r="BI12" s="6"/>
    </row>
    <row r="13" spans="1:61" x14ac:dyDescent="0.35">
      <c r="A13" s="7"/>
      <c r="B13" s="1"/>
      <c r="C13" s="8"/>
      <c r="D13" s="9"/>
      <c r="E13" s="3"/>
      <c r="F13" s="5"/>
      <c r="G13" s="2"/>
      <c r="H13" s="4"/>
      <c r="I13" s="6"/>
      <c r="BA13" s="7"/>
      <c r="BB13" s="1"/>
      <c r="BC13" s="8"/>
      <c r="BD13" s="9"/>
      <c r="BE13" s="3"/>
      <c r="BF13" s="5"/>
      <c r="BG13" s="2"/>
      <c r="BH13" s="4"/>
      <c r="BI13" s="6"/>
    </row>
    <row r="14" spans="1:61" x14ac:dyDescent="0.35">
      <c r="A14" s="7"/>
      <c r="B14" s="1"/>
      <c r="C14" s="8"/>
      <c r="D14" s="9"/>
      <c r="E14" s="3"/>
      <c r="F14" s="5"/>
      <c r="G14" s="2"/>
      <c r="H14" s="4"/>
      <c r="I14" s="6"/>
      <c r="BA14" s="7"/>
      <c r="BB14" s="1"/>
      <c r="BC14" s="8"/>
      <c r="BD14" s="9"/>
      <c r="BE14" s="3"/>
      <c r="BF14" s="5"/>
      <c r="BG14" s="2"/>
      <c r="BH14" s="4"/>
      <c r="BI14" s="6"/>
    </row>
    <row r="15" spans="1:61" x14ac:dyDescent="0.35">
      <c r="A15" s="7"/>
      <c r="B15" s="1"/>
      <c r="C15" s="8"/>
      <c r="D15" s="9"/>
      <c r="E15" s="3"/>
      <c r="F15" s="5"/>
      <c r="G15" s="2"/>
      <c r="H15" s="4"/>
      <c r="I15" s="6"/>
    </row>
    <row r="16" spans="1:61" x14ac:dyDescent="0.35">
      <c r="A16" s="7"/>
      <c r="B16" s="1"/>
      <c r="C16" s="8"/>
      <c r="D16" s="9"/>
      <c r="E16" s="3"/>
      <c r="F16" s="5"/>
      <c r="G16" s="2"/>
      <c r="H16" s="4"/>
      <c r="I16" s="6"/>
    </row>
    <row r="17" spans="1:9" x14ac:dyDescent="0.35">
      <c r="A17" s="7"/>
      <c r="B17" s="1"/>
      <c r="C17" s="8"/>
      <c r="D17" s="9"/>
      <c r="E17" s="3"/>
      <c r="F17" s="5"/>
      <c r="G17" s="2"/>
      <c r="H17" s="4"/>
      <c r="I17" s="6"/>
    </row>
    <row r="18" spans="1:9" x14ac:dyDescent="0.35">
      <c r="A18" s="7"/>
      <c r="B18" s="1"/>
      <c r="C18" s="8"/>
      <c r="D18" s="9"/>
      <c r="E18" s="3"/>
      <c r="F18" s="5"/>
      <c r="G18" s="2"/>
      <c r="H18" s="4"/>
      <c r="I18" s="6"/>
    </row>
    <row r="19" spans="1:9" x14ac:dyDescent="0.35">
      <c r="A19" s="7"/>
      <c r="B19" s="1"/>
      <c r="C19" s="8"/>
      <c r="D19" s="9"/>
      <c r="E19" s="3"/>
      <c r="F19" s="5"/>
      <c r="G19" s="2"/>
      <c r="H19" s="4"/>
      <c r="I19" s="6"/>
    </row>
    <row r="20" spans="1:9" x14ac:dyDescent="0.35">
      <c r="A20" s="7"/>
      <c r="B20" s="1"/>
      <c r="C20" s="8"/>
      <c r="D20" s="9"/>
      <c r="E20" s="3"/>
      <c r="F20" s="5"/>
      <c r="G20" s="2"/>
      <c r="H20" s="4"/>
      <c r="I20" s="6"/>
    </row>
    <row r="21" spans="1:9" x14ac:dyDescent="0.35">
      <c r="A21" s="7"/>
      <c r="B21" s="1"/>
      <c r="C21" s="8"/>
      <c r="D21" s="9"/>
      <c r="E21" s="3"/>
      <c r="F21" s="5"/>
      <c r="G21" s="2"/>
      <c r="H21" s="4"/>
      <c r="I21" s="6"/>
    </row>
    <row r="22" spans="1:9" x14ac:dyDescent="0.35">
      <c r="A22" s="7"/>
      <c r="B22" s="1"/>
      <c r="C22" s="8"/>
      <c r="D22" s="9"/>
      <c r="E22" s="3"/>
      <c r="F22" s="5"/>
      <c r="G22" s="2"/>
      <c r="H22" s="4"/>
      <c r="I22" s="6"/>
    </row>
    <row r="23" spans="1:9" x14ac:dyDescent="0.35">
      <c r="A23" s="7"/>
      <c r="B23" s="1"/>
      <c r="C23" s="8"/>
      <c r="D23" s="9"/>
      <c r="E23" s="3"/>
      <c r="F23" s="5"/>
      <c r="G23" s="2"/>
      <c r="H23" s="4"/>
      <c r="I23" s="6"/>
    </row>
    <row r="24" spans="1:9" x14ac:dyDescent="0.35">
      <c r="A24" s="7"/>
      <c r="B24" s="1"/>
      <c r="C24" s="8"/>
      <c r="D24" s="9"/>
      <c r="E24" s="3"/>
      <c r="F24" s="5"/>
      <c r="G24" s="2"/>
      <c r="H24" s="4"/>
      <c r="I24" s="6"/>
    </row>
    <row r="25" spans="1:9" x14ac:dyDescent="0.35">
      <c r="A25" s="7"/>
      <c r="B25" s="1"/>
      <c r="C25" s="8"/>
      <c r="D25" s="9"/>
      <c r="E25" s="3"/>
      <c r="F25" s="5"/>
      <c r="G25" s="2"/>
      <c r="H25" s="4"/>
      <c r="I25" s="6"/>
    </row>
    <row r="26" spans="1:9" x14ac:dyDescent="0.35">
      <c r="A26" s="7"/>
      <c r="B26" s="1"/>
      <c r="C26" s="8"/>
      <c r="D26" s="9"/>
      <c r="E26" s="3"/>
      <c r="F26" s="5"/>
      <c r="G26" s="2"/>
      <c r="H26" s="4"/>
      <c r="I26" s="6"/>
    </row>
    <row r="27" spans="1:9" x14ac:dyDescent="0.35">
      <c r="A27" s="7"/>
      <c r="B27" s="1"/>
      <c r="C27" s="8"/>
      <c r="D27" s="9"/>
      <c r="E27" s="3"/>
      <c r="F27" s="5"/>
      <c r="G27" s="2"/>
      <c r="H27" s="4"/>
      <c r="I27" s="6"/>
    </row>
    <row r="28" spans="1:9" x14ac:dyDescent="0.35">
      <c r="A28" s="7"/>
      <c r="B28" s="1"/>
      <c r="C28" s="8"/>
      <c r="D28" s="9"/>
      <c r="E28" s="3"/>
      <c r="F28" s="5"/>
      <c r="G28" s="2"/>
      <c r="H28" s="4"/>
      <c r="I28" s="6"/>
    </row>
    <row r="29" spans="1:9" x14ac:dyDescent="0.35">
      <c r="A29" s="7"/>
      <c r="B29" s="1"/>
      <c r="C29" s="8"/>
      <c r="D29" s="9"/>
      <c r="E29" s="3"/>
      <c r="F29" s="5"/>
      <c r="G29" s="2"/>
      <c r="H29" s="4"/>
      <c r="I29" s="6"/>
    </row>
    <row r="30" spans="1:9" x14ac:dyDescent="0.35">
      <c r="A30" s="7"/>
      <c r="B30" s="1"/>
      <c r="C30" s="8"/>
      <c r="D30" s="9"/>
      <c r="E30" s="3"/>
      <c r="F30" s="5"/>
      <c r="G30" s="2"/>
      <c r="H30" s="4"/>
      <c r="I30" s="6"/>
    </row>
    <row r="35" spans="11:19" ht="18.5" x14ac:dyDescent="0.45">
      <c r="K35" s="10" t="s">
        <v>0</v>
      </c>
      <c r="L35" s="10" t="s">
        <v>1</v>
      </c>
      <c r="M35" s="10" t="s">
        <v>4</v>
      </c>
      <c r="N35" s="10" t="s">
        <v>6</v>
      </c>
      <c r="O35" s="10" t="s">
        <v>3</v>
      </c>
      <c r="P35" s="10" t="s">
        <v>5</v>
      </c>
      <c r="Q35" s="10" t="s">
        <v>86</v>
      </c>
      <c r="R35" s="10" t="s">
        <v>87</v>
      </c>
      <c r="S35" s="10" t="s">
        <v>88</v>
      </c>
    </row>
    <row r="36" spans="11:19" x14ac:dyDescent="0.35">
      <c r="K36" s="7"/>
      <c r="L36" s="1"/>
      <c r="M36" s="8"/>
      <c r="N36" s="9"/>
      <c r="O36" s="3"/>
      <c r="P36" s="5"/>
      <c r="Q36" s="2"/>
      <c r="R36" s="4"/>
      <c r="S36" s="6"/>
    </row>
    <row r="37" spans="11:19" x14ac:dyDescent="0.35">
      <c r="K37" s="7"/>
      <c r="L37" s="1"/>
      <c r="M37" s="8"/>
      <c r="N37" s="9"/>
      <c r="O37" s="3"/>
      <c r="P37" s="5"/>
      <c r="Q37" s="2"/>
      <c r="R37" s="4"/>
      <c r="S37" s="6"/>
    </row>
    <row r="38" spans="11:19" x14ac:dyDescent="0.35">
      <c r="K38" s="7"/>
      <c r="L38" s="1"/>
      <c r="M38" s="8"/>
      <c r="N38" s="9"/>
      <c r="O38" s="3"/>
      <c r="P38" s="5"/>
      <c r="Q38" s="2"/>
      <c r="R38" s="4"/>
      <c r="S38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exercícios</vt:lpstr>
      <vt:lpstr>gráficos musculos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Agostinho Ferreira</dc:creator>
  <cp:lastModifiedBy>Agostinho Ferreira</cp:lastModifiedBy>
  <dcterms:created xsi:type="dcterms:W3CDTF">2023-09-25T15:43:00Z</dcterms:created>
  <dcterms:modified xsi:type="dcterms:W3CDTF">2024-01-11T16:33:33Z</dcterms:modified>
</cp:coreProperties>
</file>